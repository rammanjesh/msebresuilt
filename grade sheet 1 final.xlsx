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202E58D-6D3B-47E7-BA21-6DA2FFD111C3}" xr6:coauthVersionLast="47" xr6:coauthVersionMax="47" xr10:uidLastSave="{00000000-0000-0000-0000-000000000000}"/>
  <bookViews>
    <workbookView xWindow="-110" yWindow="-110" windowWidth="19420" windowHeight="11500" activeTab="1" xr2:uid="{2C8132FF-8130-4AEE-9FE5-CBE3CF0643AB}"/>
  </bookViews>
  <sheets>
    <sheet name="Database" sheetId="1" r:id="rId1"/>
    <sheet name="Gradesheet" sheetId="2" r:id="rId2"/>
  </sheets>
  <externalReferences>
    <externalReference r:id="rId3"/>
  </externalReferences>
  <definedNames>
    <definedName name="dd">'[1]CLASS 2'!$A$9:$AE$38</definedName>
    <definedName name="pps">'[1]CLASS 1'!$A$9:$AF$34</definedName>
    <definedName name="_xlnm.Print_Area" localSheetId="1">Gradesheet!$B$1:$H$35</definedName>
    <definedName name="TT">'[1]CLASS 3'!$A$9:$AE$60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O3" i="1"/>
  <c r="D11" i="2"/>
  <c r="F11" i="2"/>
  <c r="H11" i="2" s="1"/>
  <c r="E21" i="2"/>
  <c r="E18" i="2"/>
  <c r="E17" i="2"/>
  <c r="E16" i="2"/>
  <c r="E15" i="2"/>
  <c r="E14" i="2"/>
  <c r="E13" i="2"/>
  <c r="H13" i="2" s="1"/>
  <c r="D9" i="2"/>
  <c r="D8" i="2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N3" i="1"/>
  <c r="P4" i="1" l="1"/>
  <c r="P5" i="1"/>
  <c r="P6" i="1"/>
  <c r="P7" i="1"/>
  <c r="P8" i="1"/>
  <c r="P102" i="1"/>
  <c r="P3" i="1"/>
  <c r="G21" i="2"/>
  <c r="H21" i="2"/>
  <c r="H18" i="2"/>
  <c r="G18" i="2"/>
  <c r="H17" i="2"/>
  <c r="G17" i="2"/>
  <c r="H16" i="2"/>
  <c r="G16" i="2"/>
  <c r="H15" i="2"/>
  <c r="G15" i="2"/>
  <c r="H14" i="2"/>
  <c r="G14" i="2"/>
  <c r="G13" i="2"/>
  <c r="G22" i="2" l="1"/>
  <c r="G19" i="2"/>
</calcChain>
</file>

<file path=xl/sharedStrings.xml><?xml version="1.0" encoding="utf-8"?>
<sst xmlns="http://schemas.openxmlformats.org/spreadsheetml/2006/main" count="93" uniqueCount="86">
  <si>
    <t xml:space="preserve">  </t>
  </si>
  <si>
    <t>Name :</t>
  </si>
  <si>
    <t>Class :</t>
  </si>
  <si>
    <t>Date of Birth :</t>
  </si>
  <si>
    <t>Roll No. :</t>
  </si>
  <si>
    <t>School's Code :</t>
  </si>
  <si>
    <t xml:space="preserve"> Year :</t>
  </si>
  <si>
    <t>School Working Days :</t>
  </si>
  <si>
    <t>Attendance :</t>
  </si>
  <si>
    <t>Attendance%</t>
  </si>
  <si>
    <t>S. N.</t>
  </si>
  <si>
    <t>Subject Area</t>
  </si>
  <si>
    <t>Credit Hour</t>
  </si>
  <si>
    <t>Remarks</t>
  </si>
  <si>
    <t xml:space="preserve">Nepali Language </t>
  </si>
  <si>
    <t>English Language</t>
  </si>
  <si>
    <t>Maths</t>
  </si>
  <si>
    <t>Hamro Serofero</t>
  </si>
  <si>
    <t>Grade Point Avrage:</t>
  </si>
  <si>
    <t>Total</t>
  </si>
  <si>
    <t>Basic of Evaluation</t>
  </si>
  <si>
    <t>NG</t>
  </si>
  <si>
    <t>Non Graded</t>
  </si>
  <si>
    <t>Individual Subject Grading</t>
  </si>
  <si>
    <t>Thematic Learning Achievement</t>
  </si>
  <si>
    <t>Basic</t>
  </si>
  <si>
    <t>A+</t>
  </si>
  <si>
    <t>Outstanding</t>
  </si>
  <si>
    <t>90- 100%</t>
  </si>
  <si>
    <t>Advance</t>
  </si>
  <si>
    <t>C</t>
  </si>
  <si>
    <t>Acceptable</t>
  </si>
  <si>
    <t>A</t>
  </si>
  <si>
    <t>Excellent</t>
  </si>
  <si>
    <t>80 - 90%</t>
  </si>
  <si>
    <t>C+</t>
  </si>
  <si>
    <t>Satisfactory</t>
  </si>
  <si>
    <t>B+</t>
  </si>
  <si>
    <t>Very Good</t>
  </si>
  <si>
    <t>70 - 80%</t>
  </si>
  <si>
    <t>Proficent</t>
  </si>
  <si>
    <t>B</t>
  </si>
  <si>
    <t>Good</t>
  </si>
  <si>
    <t>60 - 70%</t>
  </si>
  <si>
    <t>50 - 60%</t>
  </si>
  <si>
    <t>40 -50%</t>
  </si>
  <si>
    <t>D+</t>
  </si>
  <si>
    <t>35 - 40%</t>
  </si>
  <si>
    <t>Below Basic</t>
  </si>
  <si>
    <t>&gt;35%</t>
  </si>
  <si>
    <t>Class Teacher</t>
  </si>
  <si>
    <t>Principal</t>
  </si>
  <si>
    <t>Issue Date :</t>
  </si>
  <si>
    <t>Translation</t>
  </si>
  <si>
    <t>Obtained Grade Point(GP)</t>
  </si>
  <si>
    <t>Grade</t>
  </si>
  <si>
    <t>General Knowledge</t>
  </si>
  <si>
    <t>Extra Credit Subject</t>
  </si>
  <si>
    <t>Science</t>
  </si>
  <si>
    <t>Roll No.</t>
  </si>
  <si>
    <t>Student Name</t>
  </si>
  <si>
    <t>Date of Birth</t>
  </si>
  <si>
    <t>School Working Days</t>
  </si>
  <si>
    <t>Attendance</t>
  </si>
  <si>
    <t>Attendance %</t>
  </si>
  <si>
    <t>Rank</t>
  </si>
  <si>
    <t xml:space="preserve">English </t>
  </si>
  <si>
    <t>Nepali</t>
  </si>
  <si>
    <t xml:space="preserve">Ram lala </t>
  </si>
  <si>
    <t>Shyamlala</t>
  </si>
  <si>
    <t>Manjesh Ram</t>
  </si>
  <si>
    <t>Anjali Kumari</t>
  </si>
  <si>
    <t>Atim Ansari`</t>
  </si>
  <si>
    <t>22/02/2012</t>
  </si>
  <si>
    <t>22/02/2013</t>
  </si>
  <si>
    <t>22/02/2015</t>
  </si>
  <si>
    <t>32/02/2014</t>
  </si>
  <si>
    <t>msbschool@gmail.com   Ph no 9821290194</t>
  </si>
  <si>
    <t>Nami Baniya</t>
  </si>
  <si>
    <t>Anita</t>
  </si>
  <si>
    <t>2083. 07.10</t>
  </si>
  <si>
    <t>21/02/2078</t>
  </si>
  <si>
    <t>Ramu Shyamu</t>
  </si>
  <si>
    <t>Result</t>
  </si>
  <si>
    <t>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</si>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</sst>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00439]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Kalimati"/>
      <charset val="1"/>
    </font>
    <font>
      <b/>
      <sz val="14"/>
      <color theme="1"/>
      <name val="Kalimati"/>
      <charset val="1"/>
    </font>
    <font>
      <sz val="11"/>
      <name val="Calibri"/>
      <family val="2"/>
    </font>
    <font>
      <b/>
      <sz val="14"/>
      <color rgb="FF002060"/>
      <name val="Mangal"/>
      <family val="1"/>
    </font>
    <font>
      <b/>
      <sz val="14"/>
      <color theme="1"/>
      <name val="Mangal"/>
      <family val="1"/>
    </font>
    <font>
      <b/>
      <sz val="12"/>
      <color rgb="FF002060"/>
      <name val="Cambria"/>
      <family val="1"/>
    </font>
    <font>
      <sz val="14"/>
      <color theme="1"/>
      <name val="Cambria"/>
      <family val="1"/>
    </font>
    <font>
      <sz val="12"/>
      <color theme="1"/>
      <name val="Cambria"/>
      <family val="1"/>
    </font>
    <font>
      <b/>
      <sz val="11"/>
      <color rgb="FF17365D"/>
      <name val="Cambria"/>
      <family val="1"/>
    </font>
    <font>
      <b/>
      <sz val="11"/>
      <color rgb="FF002060"/>
      <name val="Cambria"/>
      <family val="1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libri"/>
      <family val="2"/>
    </font>
    <font>
      <b/>
      <u/>
      <sz val="16"/>
      <color rgb="FF002060"/>
      <name val="Cambria"/>
      <family val="1"/>
    </font>
    <font>
      <b/>
      <sz val="12"/>
      <color rgb="FF17365D"/>
      <name val="Cambria"/>
      <family val="1"/>
    </font>
    <font>
      <b/>
      <sz val="14"/>
      <color rgb="FF17365D"/>
      <name val="Cambria"/>
      <family val="1"/>
    </font>
    <font>
      <b/>
      <sz val="16"/>
      <color rgb="FF17365D"/>
      <name val="Cambria"/>
      <family val="1"/>
    </font>
    <font>
      <sz val="11"/>
      <color rgb="FF002060"/>
      <name val="Cambria"/>
      <family val="1"/>
    </font>
    <font>
      <b/>
      <sz val="10"/>
      <color theme="1"/>
      <name val="Cambria"/>
      <family val="1"/>
    </font>
    <font>
      <b/>
      <sz val="16"/>
      <name val="Times New Roman"/>
      <family val="1"/>
    </font>
    <font>
      <b/>
      <sz val="14"/>
      <color theme="1"/>
      <name val="Cambria"/>
      <family val="1"/>
    </font>
    <font>
      <b/>
      <sz val="14"/>
      <name val="Calibr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</font>
    <font>
      <b/>
      <u/>
      <sz val="14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7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165" fontId="14" fillId="0" borderId="0" xfId="0" applyNumberFormat="1" applyFont="1" applyAlignment="1">
      <alignment horizontal="center"/>
    </xf>
    <xf numFmtId="165" fontId="19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5" fontId="19" fillId="0" borderId="29" xfId="0" applyNumberFormat="1" applyFont="1" applyBorder="1" applyAlignment="1">
      <alignment horizontal="center" vertical="center"/>
    </xf>
    <xf numFmtId="165" fontId="19" fillId="0" borderId="12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19" fillId="0" borderId="15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22" fillId="0" borderId="7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center" vertical="top" wrapText="1"/>
    </xf>
    <xf numFmtId="0" fontId="23" fillId="0" borderId="32" xfId="0" applyFont="1" applyBorder="1" applyAlignment="1">
      <alignment vertical="top" wrapText="1"/>
    </xf>
    <xf numFmtId="0" fontId="23" fillId="0" borderId="33" xfId="0" applyFont="1" applyBorder="1" applyAlignment="1">
      <alignment horizontal="center" vertical="top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0" fillId="0" borderId="38" xfId="0" applyBorder="1"/>
    <xf numFmtId="9" fontId="0" fillId="0" borderId="38" xfId="1" applyFont="1" applyBorder="1"/>
    <xf numFmtId="14" fontId="0" fillId="0" borderId="38" xfId="0" applyNumberFormat="1" applyBorder="1"/>
    <xf numFmtId="0" fontId="4" fillId="0" borderId="3" xfId="0" applyFont="1" applyBorder="1"/>
    <xf numFmtId="0" fontId="4" fillId="0" borderId="0" xfId="0" applyFont="1"/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3" fillId="0" borderId="0" xfId="0" applyFont="1"/>
    <xf numFmtId="0" fontId="14" fillId="0" borderId="1" xfId="0" applyFont="1" applyBorder="1" applyAlignment="1">
      <alignment horizontal="right" vertical="center"/>
    </xf>
    <xf numFmtId="0" fontId="28" fillId="0" borderId="40" xfId="0" applyFont="1" applyBorder="1" applyAlignment="1">
      <alignment horizontal="right" vertical="center"/>
    </xf>
    <xf numFmtId="0" fontId="32" fillId="0" borderId="40" xfId="0" applyFont="1" applyBorder="1"/>
    <xf numFmtId="0" fontId="4" fillId="0" borderId="2" xfId="0" applyFont="1" applyBorder="1"/>
    <xf numFmtId="0" fontId="27" fillId="0" borderId="46" xfId="0" applyFont="1" applyBorder="1"/>
    <xf numFmtId="164" fontId="16" fillId="0" borderId="2" xfId="0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9" fontId="7" fillId="2" borderId="11" xfId="1" applyFont="1" applyFill="1" applyBorder="1" applyAlignment="1">
      <alignment horizontal="center" vertical="center"/>
    </xf>
    <xf numFmtId="0" fontId="28" fillId="3" borderId="0" xfId="0" applyFont="1" applyFill="1" applyAlignment="1">
      <alignment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34" fillId="0" borderId="6" xfId="2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0" fillId="0" borderId="0" xfId="0"/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4" fillId="0" borderId="2" xfId="0" applyFont="1" applyBorder="1" applyAlignment="1">
      <alignment horizontal="center"/>
    </xf>
    <xf numFmtId="0" fontId="26" fillId="0" borderId="41" xfId="0" applyFont="1" applyBorder="1" applyAlignment="1">
      <alignment horizontal="center"/>
    </xf>
    <xf numFmtId="0" fontId="26" fillId="0" borderId="43" xfId="0" applyFont="1" applyBorder="1" applyAlignment="1">
      <alignment horizontal="center"/>
    </xf>
    <xf numFmtId="0" fontId="25" fillId="2" borderId="41" xfId="0" applyFont="1" applyFill="1" applyBorder="1" applyAlignment="1">
      <alignment horizontal="right" vertical="center"/>
    </xf>
    <xf numFmtId="0" fontId="25" fillId="2" borderId="42" xfId="0" applyFont="1" applyFill="1" applyBorder="1" applyAlignment="1">
      <alignment horizontal="right" vertical="center"/>
    </xf>
    <xf numFmtId="0" fontId="25" fillId="2" borderId="43" xfId="0" applyFont="1" applyFill="1" applyBorder="1" applyAlignment="1">
      <alignment horizontal="right" vertical="center"/>
    </xf>
    <xf numFmtId="164" fontId="25" fillId="2" borderId="44" xfId="0" applyNumberFormat="1" applyFont="1" applyFill="1" applyBorder="1" applyAlignment="1">
      <alignment horizontal="center" vertical="center"/>
    </xf>
    <xf numFmtId="164" fontId="25" fillId="2" borderId="45" xfId="0" applyNumberFormat="1" applyFont="1" applyFill="1" applyBorder="1" applyAlignment="1">
      <alignment horizontal="center" vertical="center"/>
    </xf>
    <xf numFmtId="165" fontId="20" fillId="0" borderId="50" xfId="0" applyNumberFormat="1" applyFont="1" applyBorder="1" applyAlignment="1">
      <alignment horizontal="center" vertical="center"/>
    </xf>
    <xf numFmtId="0" fontId="4" fillId="0" borderId="38" xfId="0" applyFont="1" applyBorder="1"/>
    <xf numFmtId="0" fontId="4" fillId="0" borderId="50" xfId="0" applyFont="1" applyBorder="1"/>
    <xf numFmtId="0" fontId="21" fillId="0" borderId="51" xfId="0" applyFont="1" applyBorder="1" applyAlignment="1">
      <alignment horizontal="center" vertical="center"/>
    </xf>
    <xf numFmtId="0" fontId="4" fillId="0" borderId="51" xfId="0" applyFont="1" applyBorder="1"/>
    <xf numFmtId="0" fontId="14" fillId="0" borderId="31" xfId="0" applyFont="1" applyBorder="1" applyAlignment="1">
      <alignment horizontal="center" vertical="center"/>
    </xf>
    <xf numFmtId="0" fontId="4" fillId="0" borderId="34" xfId="0" applyFont="1" applyBorder="1"/>
    <xf numFmtId="0" fontId="14" fillId="0" borderId="34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center" vertical="center"/>
    </xf>
    <xf numFmtId="0" fontId="4" fillId="0" borderId="5" xfId="0" applyFont="1" applyBorder="1"/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4" fillId="0" borderId="0" xfId="0" applyFont="1"/>
    <xf numFmtId="0" fontId="14" fillId="0" borderId="22" xfId="0" applyFont="1" applyBorder="1" applyAlignment="1">
      <alignment horizontal="right" vertical="center"/>
    </xf>
    <xf numFmtId="0" fontId="4" fillId="0" borderId="23" xfId="0" applyFont="1" applyBorder="1"/>
    <xf numFmtId="164" fontId="16" fillId="0" borderId="22" xfId="0" applyNumberFormat="1" applyFont="1" applyBorder="1" applyAlignment="1">
      <alignment horizontal="center" vertical="center"/>
    </xf>
    <xf numFmtId="0" fontId="4" fillId="0" borderId="24" xfId="0" applyFont="1" applyBorder="1"/>
    <xf numFmtId="165" fontId="20" fillId="0" borderId="47" xfId="0" applyNumberFormat="1" applyFont="1" applyBorder="1" applyAlignment="1">
      <alignment horizontal="center" vertical="center"/>
    </xf>
    <xf numFmtId="0" fontId="4" fillId="0" borderId="48" xfId="0" applyFont="1" applyBorder="1"/>
    <xf numFmtId="0" fontId="21" fillId="0" borderId="49" xfId="0" applyFont="1" applyBorder="1" applyAlignment="1">
      <alignment horizontal="center" vertical="center"/>
    </xf>
    <xf numFmtId="165" fontId="19" fillId="0" borderId="4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165" fontId="19" fillId="0" borderId="6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  <xf numFmtId="0" fontId="4" fillId="0" borderId="54" xfId="0" applyFont="1" applyBorder="1"/>
    <xf numFmtId="0" fontId="23" fillId="0" borderId="30" xfId="0" applyFont="1" applyBorder="1" applyAlignment="1">
      <alignment horizontal="center" vertical="top"/>
    </xf>
    <xf numFmtId="0" fontId="4" fillId="0" borderId="32" xfId="0" applyFon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933450</xdr:colOff>
      <xdr:row>4</xdr:row>
      <xdr:rowOff>123825</xdr:rowOff>
    </xdr:from>
    <xdr:ext cx="4010025" cy="4191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1790CE35-5C5B-41B3-B9F3-198C6ABBC665}"/>
            </a:ext>
          </a:extLst>
        </xdr:cNvPr>
        <xdr:cNvSpPr txBox="1"/>
      </xdr:nvSpPr>
      <xdr:spPr>
        <a:xfrm>
          <a:off x="1498600" y="1095375"/>
          <a:ext cx="4010025" cy="419100"/>
        </a:xfrm>
        <a:prstGeom prst="rect">
          <a:avLst/>
        </a:prstGeom>
        <a:solidFill>
          <a:srgbClr val="002060"/>
        </a:solidFill>
        <a:ln w="381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Calibri"/>
            <a:buNone/>
          </a:pPr>
          <a:r>
            <a:rPr lang="en-US" sz="18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Student's Progress Report Based on CAS</a:t>
          </a:r>
          <a:endParaRPr sz="18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</xdr:col>
      <xdr:colOff>66675</xdr:colOff>
      <xdr:row>1</xdr:row>
      <xdr:rowOff>57150</xdr:rowOff>
    </xdr:from>
    <xdr:ext cx="1276350" cy="1276350"/>
    <xdr:pic>
      <xdr:nvPicPr>
        <xdr:cNvPr id="5" name="image1.png">
          <a:extLst>
            <a:ext uri="{FF2B5EF4-FFF2-40B4-BE49-F238E27FC236}">
              <a16:creationId xmlns:a16="http://schemas.microsoft.com/office/drawing/2014/main" id="{1FB08D4F-DA24-41D0-BC99-29CE28C099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525" y="76200"/>
          <a:ext cx="127635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1</xdr:row>
      <xdr:rowOff>101600</xdr:rowOff>
    </xdr:from>
    <xdr:ext cx="5283200" cy="1028700"/>
    <xdr:sp macro="" textlink="">
      <xdr:nvSpPr>
        <xdr:cNvPr id="6" name="Shape 22">
          <a:extLst>
            <a:ext uri="{FF2B5EF4-FFF2-40B4-BE49-F238E27FC236}">
              <a16:creationId xmlns:a16="http://schemas.microsoft.com/office/drawing/2014/main" id="{E41DFAC5-1215-4941-988B-B44F1B9404D1}"/>
            </a:ext>
          </a:extLst>
        </xdr:cNvPr>
        <xdr:cNvSpPr txBox="1"/>
      </xdr:nvSpPr>
      <xdr:spPr>
        <a:xfrm>
          <a:off x="1346200" y="120650"/>
          <a:ext cx="5283200" cy="1028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C00000"/>
              </a:solidFill>
              <a:latin typeface="Algerian" panose="04020705040A02060702" pitchFamily="82" charset="0"/>
              <a:sym typeface="Quattrocento Sans"/>
            </a:rPr>
            <a:t>Morning</a:t>
          </a:r>
          <a:r>
            <a:rPr lang="en-US" sz="2000" b="1" baseline="0">
              <a:solidFill>
                <a:srgbClr val="C00000"/>
              </a:solidFill>
              <a:latin typeface="Algerian" panose="04020705040A02060702" pitchFamily="82" charset="0"/>
              <a:sym typeface="Quattrocento Sans"/>
            </a:rPr>
            <a:t> Star English Boarding School</a:t>
          </a:r>
          <a:endParaRPr sz="2000">
            <a:solidFill>
              <a:srgbClr val="C00000"/>
            </a:solidFill>
            <a:latin typeface="Algerian" panose="04020705040A02060702" pitchFamily="82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rgbClr val="C00000"/>
              </a:solidFill>
              <a:latin typeface="Aharoni" panose="02010803020104030203" pitchFamily="2" charset="-79"/>
              <a:ea typeface="Quattrocento Sans"/>
              <a:cs typeface="Aharoni" panose="02010803020104030203" pitchFamily="2" charset="-79"/>
              <a:sym typeface="Quattrocento Sans"/>
            </a:rPr>
            <a:t>Ekadara</a:t>
          </a:r>
          <a:r>
            <a:rPr lang="en-US" sz="1600" b="1" baseline="0">
              <a:solidFill>
                <a:srgbClr val="C00000"/>
              </a:solidFill>
              <a:latin typeface="Aharoni" panose="02010803020104030203" pitchFamily="2" charset="-79"/>
              <a:ea typeface="Quattrocento Sans"/>
              <a:cs typeface="Aharoni" panose="02010803020104030203" pitchFamily="2" charset="-79"/>
              <a:sym typeface="Quattrocento Sans"/>
            </a:rPr>
            <a:t> RM:-6 Baheda Bazaar</a:t>
          </a:r>
          <a:endParaRPr sz="1600" b="1">
            <a:solidFill>
              <a:srgbClr val="C00000"/>
            </a:solidFill>
            <a:latin typeface="Aharoni" panose="02010803020104030203" pitchFamily="2" charset="-79"/>
            <a:ea typeface="Quattrocento Sans"/>
            <a:cs typeface="Aharoni" panose="02010803020104030203" pitchFamily="2" charset="-79"/>
            <a:sym typeface="Quattrocento Sans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C00000"/>
              </a:solidFill>
              <a:latin typeface="Aharoni" panose="02010803020104030203" pitchFamily="2" charset="-79"/>
              <a:ea typeface="Quattrocento Sans"/>
              <a:cs typeface="Aharoni" panose="02010803020104030203" pitchFamily="2" charset="-79"/>
              <a:sym typeface="Quattrocento Sans"/>
            </a:rPr>
            <a:t>Estd : 2068</a:t>
          </a:r>
          <a:endParaRPr sz="2400">
            <a:solidFill>
              <a:srgbClr val="C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Sebs%20(1).xlsm" TargetMode="External"/><Relationship Id="rId1" Type="http://schemas.openxmlformats.org/officeDocument/2006/relationships/externalLinkPath" Target="Sebs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 1"/>
      <sheetName val="CLASS 2"/>
      <sheetName val="Sheet2"/>
      <sheetName val="CLASS 3"/>
      <sheetName val="GRADE SHEET-1"/>
      <sheetName val="Sheet1"/>
    </sheetNames>
    <sheetDataSet>
      <sheetData sheetId="0">
        <row r="9">
          <cell r="A9">
            <v>1</v>
          </cell>
          <cell r="B9" t="str">
            <v>Ramji Acharya</v>
          </cell>
          <cell r="C9">
            <v>33501</v>
          </cell>
          <cell r="D9">
            <v>120</v>
          </cell>
          <cell r="E9">
            <v>115</v>
          </cell>
          <cell r="F9">
            <v>95.833333333333343</v>
          </cell>
          <cell r="G9">
            <v>16</v>
          </cell>
          <cell r="H9"/>
          <cell r="I9">
            <v>5</v>
          </cell>
          <cell r="J9">
            <v>15</v>
          </cell>
          <cell r="K9">
            <v>75</v>
          </cell>
          <cell r="L9" t="str">
            <v>B+</v>
          </cell>
          <cell r="M9">
            <v>37</v>
          </cell>
          <cell r="N9">
            <v>25</v>
          </cell>
          <cell r="O9">
            <v>68</v>
          </cell>
          <cell r="P9">
            <v>68</v>
          </cell>
          <cell r="Q9" t="str">
            <v>B</v>
          </cell>
          <cell r="R9">
            <v>16</v>
          </cell>
          <cell r="S9">
            <v>9</v>
          </cell>
          <cell r="T9">
            <v>18</v>
          </cell>
          <cell r="U9">
            <v>50</v>
          </cell>
          <cell r="V9" t="str">
            <v>C+</v>
          </cell>
          <cell r="W9">
            <v>27</v>
          </cell>
          <cell r="X9">
            <v>17</v>
          </cell>
          <cell r="Y9">
            <v>51</v>
          </cell>
          <cell r="Z9">
            <v>75</v>
          </cell>
          <cell r="AA9" t="str">
            <v>B+</v>
          </cell>
          <cell r="AB9">
            <v>10</v>
          </cell>
          <cell r="AC9">
            <v>7</v>
          </cell>
          <cell r="AD9">
            <v>21</v>
          </cell>
          <cell r="AE9">
            <v>75</v>
          </cell>
          <cell r="AF9" t="str">
            <v>B+</v>
          </cell>
        </row>
        <row r="10">
          <cell r="A10">
            <v>2</v>
          </cell>
          <cell r="B10" t="str">
            <v>Nawaraj Sajnel</v>
          </cell>
          <cell r="C10">
            <v>33501</v>
          </cell>
          <cell r="D10">
            <v>120</v>
          </cell>
          <cell r="E10">
            <v>112</v>
          </cell>
          <cell r="F10">
            <v>93.333333333333329</v>
          </cell>
          <cell r="G10">
            <v>16</v>
          </cell>
          <cell r="H10"/>
          <cell r="I10">
            <v>5</v>
          </cell>
          <cell r="J10">
            <v>20</v>
          </cell>
          <cell r="K10">
            <v>100</v>
          </cell>
          <cell r="L10" t="str">
            <v>A+</v>
          </cell>
          <cell r="M10">
            <v>37</v>
          </cell>
          <cell r="N10">
            <v>25</v>
          </cell>
          <cell r="O10">
            <v>68</v>
          </cell>
          <cell r="P10">
            <v>68</v>
          </cell>
          <cell r="Q10" t="str">
            <v>B</v>
          </cell>
          <cell r="R10">
            <v>16</v>
          </cell>
          <cell r="S10">
            <v>13</v>
          </cell>
          <cell r="T10">
            <v>23</v>
          </cell>
          <cell r="U10">
            <v>44.230769230769226</v>
          </cell>
          <cell r="V10" t="str">
            <v>C</v>
          </cell>
          <cell r="W10">
            <v>27</v>
          </cell>
          <cell r="X10">
            <v>15</v>
          </cell>
          <cell r="Y10">
            <v>30</v>
          </cell>
          <cell r="Z10">
            <v>50</v>
          </cell>
          <cell r="AA10" t="str">
            <v>C+</v>
          </cell>
          <cell r="AB10">
            <v>10</v>
          </cell>
          <cell r="AC10">
            <v>7</v>
          </cell>
          <cell r="AD10">
            <v>21</v>
          </cell>
          <cell r="AE10">
            <v>75</v>
          </cell>
          <cell r="AF10" t="str">
            <v>B+</v>
          </cell>
        </row>
        <row r="11">
          <cell r="A11">
            <v>3</v>
          </cell>
          <cell r="B11" t="str">
            <v>Vidhya Pokhrel</v>
          </cell>
          <cell r="C11">
            <v>33501</v>
          </cell>
          <cell r="D11">
            <v>120</v>
          </cell>
          <cell r="E11">
            <v>112</v>
          </cell>
          <cell r="F11">
            <v>93.333333333333329</v>
          </cell>
          <cell r="G11">
            <v>16</v>
          </cell>
          <cell r="H11"/>
          <cell r="I11">
            <v>8</v>
          </cell>
          <cell r="J11">
            <v>24</v>
          </cell>
          <cell r="K11">
            <v>75</v>
          </cell>
          <cell r="L11" t="str">
            <v>B+</v>
          </cell>
          <cell r="M11">
            <v>37</v>
          </cell>
          <cell r="N11">
            <v>25</v>
          </cell>
          <cell r="O11">
            <v>68</v>
          </cell>
          <cell r="P11">
            <v>68</v>
          </cell>
          <cell r="Q11" t="str">
            <v>B</v>
          </cell>
          <cell r="R11">
            <v>16</v>
          </cell>
          <cell r="S11">
            <v>12</v>
          </cell>
          <cell r="T11">
            <v>22</v>
          </cell>
          <cell r="U11">
            <v>45.833333333333329</v>
          </cell>
          <cell r="V11" t="str">
            <v>C</v>
          </cell>
          <cell r="W11">
            <v>27</v>
          </cell>
          <cell r="X11">
            <v>22</v>
          </cell>
          <cell r="Y11">
            <v>28</v>
          </cell>
          <cell r="Z11">
            <v>31.818181818181817</v>
          </cell>
          <cell r="AA11" t="str">
            <v>NG</v>
          </cell>
          <cell r="AB11">
            <v>10</v>
          </cell>
          <cell r="AC11">
            <v>7</v>
          </cell>
          <cell r="AD11">
            <v>21</v>
          </cell>
          <cell r="AE11">
            <v>75</v>
          </cell>
          <cell r="AF11" t="str">
            <v>B+</v>
          </cell>
        </row>
        <row r="12">
          <cell r="A12">
            <v>4</v>
          </cell>
          <cell r="B12" t="str">
            <v>Sangita Ghale</v>
          </cell>
          <cell r="C12">
            <v>33501</v>
          </cell>
          <cell r="D12">
            <v>120</v>
          </cell>
          <cell r="E12">
            <v>116</v>
          </cell>
          <cell r="F12">
            <v>96.666666666666671</v>
          </cell>
          <cell r="G12">
            <v>16</v>
          </cell>
          <cell r="H12"/>
          <cell r="I12">
            <v>8</v>
          </cell>
          <cell r="J12">
            <v>24</v>
          </cell>
          <cell r="K12">
            <v>75</v>
          </cell>
          <cell r="L12" t="str">
            <v>B+</v>
          </cell>
          <cell r="M12">
            <v>37</v>
          </cell>
          <cell r="N12">
            <v>25</v>
          </cell>
          <cell r="O12">
            <v>68</v>
          </cell>
          <cell r="P12">
            <v>68</v>
          </cell>
          <cell r="Q12" t="str">
            <v>B</v>
          </cell>
          <cell r="R12">
            <v>16</v>
          </cell>
          <cell r="S12">
            <v>13</v>
          </cell>
          <cell r="T12">
            <v>15</v>
          </cell>
          <cell r="U12">
            <v>28.846153846153843</v>
          </cell>
          <cell r="V12" t="str">
            <v>NG</v>
          </cell>
          <cell r="W12">
            <v>27</v>
          </cell>
          <cell r="X12">
            <v>22</v>
          </cell>
          <cell r="Y12">
            <v>28</v>
          </cell>
          <cell r="Z12">
            <v>31.818181818181817</v>
          </cell>
          <cell r="AA12" t="str">
            <v>NG</v>
          </cell>
          <cell r="AB12">
            <v>10</v>
          </cell>
          <cell r="AC12">
            <v>7</v>
          </cell>
          <cell r="AD12">
            <v>21</v>
          </cell>
          <cell r="AE12">
            <v>75</v>
          </cell>
          <cell r="AF12" t="str">
            <v>B+</v>
          </cell>
        </row>
        <row r="13">
          <cell r="A13">
            <v>5</v>
          </cell>
          <cell r="B13" t="str">
            <v>Binny Sharma</v>
          </cell>
          <cell r="C13">
            <v>33501</v>
          </cell>
          <cell r="D13">
            <v>120</v>
          </cell>
          <cell r="E13">
            <v>107</v>
          </cell>
          <cell r="F13">
            <v>89.166666666666671</v>
          </cell>
          <cell r="G13">
            <v>16</v>
          </cell>
          <cell r="H13"/>
          <cell r="I13">
            <v>8</v>
          </cell>
          <cell r="J13">
            <v>24</v>
          </cell>
          <cell r="K13">
            <v>75</v>
          </cell>
          <cell r="L13" t="str">
            <v>B+</v>
          </cell>
          <cell r="M13">
            <v>37</v>
          </cell>
          <cell r="N13">
            <v>25</v>
          </cell>
          <cell r="O13">
            <v>68</v>
          </cell>
          <cell r="P13">
            <v>68</v>
          </cell>
          <cell r="Q13" t="str">
            <v>B</v>
          </cell>
          <cell r="R13">
            <v>16</v>
          </cell>
          <cell r="S13">
            <v>13</v>
          </cell>
          <cell r="T13">
            <v>15</v>
          </cell>
          <cell r="U13">
            <v>28.846153846153843</v>
          </cell>
          <cell r="V13" t="str">
            <v>NG</v>
          </cell>
          <cell r="W13">
            <v>27</v>
          </cell>
          <cell r="X13">
            <v>22</v>
          </cell>
          <cell r="Y13">
            <v>28</v>
          </cell>
          <cell r="Z13">
            <v>31.818181818181817</v>
          </cell>
          <cell r="AA13" t="str">
            <v>NG</v>
          </cell>
          <cell r="AB13">
            <v>10</v>
          </cell>
          <cell r="AC13">
            <v>7</v>
          </cell>
          <cell r="AD13">
            <v>21</v>
          </cell>
          <cell r="AE13">
            <v>75</v>
          </cell>
          <cell r="AF13" t="str">
            <v>B+</v>
          </cell>
        </row>
        <row r="14">
          <cell r="A14">
            <v>6</v>
          </cell>
          <cell r="B14" t="str">
            <v>Sarita Shrestha</v>
          </cell>
          <cell r="C14">
            <v>33501</v>
          </cell>
          <cell r="D14">
            <v>120</v>
          </cell>
          <cell r="E14">
            <v>109</v>
          </cell>
          <cell r="F14">
            <v>90.833333333333329</v>
          </cell>
          <cell r="G14">
            <v>16</v>
          </cell>
          <cell r="H14"/>
          <cell r="I14">
            <v>8</v>
          </cell>
          <cell r="J14">
            <v>28</v>
          </cell>
          <cell r="K14">
            <v>87.5</v>
          </cell>
          <cell r="L14" t="str">
            <v>A</v>
          </cell>
          <cell r="M14">
            <v>37</v>
          </cell>
          <cell r="N14">
            <v>25</v>
          </cell>
          <cell r="O14">
            <v>68</v>
          </cell>
          <cell r="P14">
            <v>68</v>
          </cell>
          <cell r="Q14" t="str">
            <v>B</v>
          </cell>
          <cell r="R14">
            <v>16</v>
          </cell>
          <cell r="S14">
            <v>13</v>
          </cell>
          <cell r="T14">
            <v>15</v>
          </cell>
          <cell r="U14">
            <v>28.846153846153843</v>
          </cell>
          <cell r="V14" t="str">
            <v>NG</v>
          </cell>
          <cell r="W14">
            <v>27</v>
          </cell>
          <cell r="X14">
            <v>22</v>
          </cell>
          <cell r="Y14">
            <v>28</v>
          </cell>
          <cell r="Z14">
            <v>31.818181818181817</v>
          </cell>
          <cell r="AA14" t="str">
            <v>NG</v>
          </cell>
          <cell r="AB14">
            <v>10</v>
          </cell>
          <cell r="AC14">
            <v>7</v>
          </cell>
          <cell r="AD14">
            <v>21</v>
          </cell>
          <cell r="AE14">
            <v>75</v>
          </cell>
          <cell r="AF14" t="str">
            <v>B+</v>
          </cell>
        </row>
        <row r="15">
          <cell r="A15">
            <v>7</v>
          </cell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 t="str">
            <v>NG</v>
          </cell>
          <cell r="M15"/>
          <cell r="N15">
            <v>25</v>
          </cell>
          <cell r="O15">
            <v>68</v>
          </cell>
          <cell r="P15"/>
          <cell r="Q15" t="str">
            <v>NG</v>
          </cell>
          <cell r="R15"/>
          <cell r="S15"/>
          <cell r="T15"/>
          <cell r="U15"/>
          <cell r="V15" t="str">
            <v>NG</v>
          </cell>
          <cell r="W15"/>
          <cell r="X15"/>
          <cell r="Y15"/>
          <cell r="Z15"/>
          <cell r="AA15" t="str">
            <v>NG</v>
          </cell>
          <cell r="AB15"/>
          <cell r="AC15"/>
          <cell r="AD15"/>
          <cell r="AE15"/>
          <cell r="AF15" t="str">
            <v>NG</v>
          </cell>
        </row>
        <row r="16">
          <cell r="A16">
            <v>8</v>
          </cell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 t="str">
            <v>NG</v>
          </cell>
          <cell r="M16"/>
          <cell r="N16">
            <v>25</v>
          </cell>
          <cell r="O16">
            <v>68</v>
          </cell>
          <cell r="P16"/>
          <cell r="Q16" t="str">
            <v>NG</v>
          </cell>
          <cell r="R16"/>
          <cell r="S16"/>
          <cell r="T16"/>
          <cell r="U16"/>
          <cell r="V16" t="str">
            <v>NG</v>
          </cell>
          <cell r="W16"/>
          <cell r="X16"/>
          <cell r="Y16"/>
          <cell r="Z16"/>
          <cell r="AA16" t="str">
            <v>NG</v>
          </cell>
          <cell r="AB16"/>
          <cell r="AC16"/>
          <cell r="AD16"/>
          <cell r="AE16"/>
          <cell r="AF16" t="str">
            <v>NG</v>
          </cell>
        </row>
        <row r="17">
          <cell r="A17">
            <v>9</v>
          </cell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 t="str">
            <v>NG</v>
          </cell>
          <cell r="M17"/>
          <cell r="N17">
            <v>25</v>
          </cell>
          <cell r="O17">
            <v>68</v>
          </cell>
          <cell r="P17"/>
          <cell r="Q17" t="str">
            <v>NG</v>
          </cell>
          <cell r="R17"/>
          <cell r="S17"/>
          <cell r="T17"/>
          <cell r="U17"/>
          <cell r="V17" t="str">
            <v>NG</v>
          </cell>
          <cell r="W17"/>
          <cell r="X17"/>
          <cell r="Y17"/>
          <cell r="Z17"/>
          <cell r="AA17" t="str">
            <v>NG</v>
          </cell>
          <cell r="AB17"/>
          <cell r="AC17"/>
          <cell r="AD17"/>
          <cell r="AE17"/>
          <cell r="AF17" t="str">
            <v>NG</v>
          </cell>
        </row>
        <row r="18">
          <cell r="A18">
            <v>10</v>
          </cell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 t="str">
            <v>NG</v>
          </cell>
          <cell r="M18"/>
          <cell r="N18">
            <v>25</v>
          </cell>
          <cell r="O18">
            <v>68</v>
          </cell>
          <cell r="P18"/>
          <cell r="Q18" t="str">
            <v>NG</v>
          </cell>
          <cell r="R18"/>
          <cell r="S18"/>
          <cell r="T18"/>
          <cell r="U18"/>
          <cell r="V18" t="str">
            <v>NG</v>
          </cell>
          <cell r="W18"/>
          <cell r="X18"/>
          <cell r="Y18"/>
          <cell r="Z18"/>
          <cell r="AA18" t="str">
            <v>NG</v>
          </cell>
          <cell r="AB18"/>
          <cell r="AC18"/>
          <cell r="AD18"/>
          <cell r="AE18"/>
          <cell r="AF18" t="str">
            <v>NG</v>
          </cell>
        </row>
        <row r="19">
          <cell r="A19">
            <v>11</v>
          </cell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 t="str">
            <v>NG</v>
          </cell>
          <cell r="M19"/>
          <cell r="N19">
            <v>25</v>
          </cell>
          <cell r="O19">
            <v>68</v>
          </cell>
          <cell r="P19"/>
          <cell r="Q19" t="str">
            <v>NG</v>
          </cell>
          <cell r="R19"/>
          <cell r="S19"/>
          <cell r="T19"/>
          <cell r="U19"/>
          <cell r="V19" t="str">
            <v>NG</v>
          </cell>
          <cell r="W19"/>
          <cell r="X19"/>
          <cell r="Y19"/>
          <cell r="Z19"/>
          <cell r="AA19" t="str">
            <v>NG</v>
          </cell>
          <cell r="AB19"/>
          <cell r="AC19"/>
          <cell r="AD19"/>
          <cell r="AE19"/>
          <cell r="AF19" t="str">
            <v>NG</v>
          </cell>
        </row>
        <row r="20">
          <cell r="A20">
            <v>12</v>
          </cell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 t="str">
            <v>NG</v>
          </cell>
          <cell r="M20"/>
          <cell r="N20">
            <v>25</v>
          </cell>
          <cell r="O20">
            <v>68</v>
          </cell>
          <cell r="P20"/>
          <cell r="Q20" t="str">
            <v>NG</v>
          </cell>
          <cell r="R20"/>
          <cell r="S20"/>
          <cell r="T20"/>
          <cell r="U20"/>
          <cell r="V20" t="str">
            <v>NG</v>
          </cell>
          <cell r="W20"/>
          <cell r="X20"/>
          <cell r="Y20"/>
          <cell r="Z20"/>
          <cell r="AA20" t="str">
            <v>NG</v>
          </cell>
          <cell r="AB20"/>
          <cell r="AC20"/>
          <cell r="AD20"/>
          <cell r="AE20"/>
          <cell r="AF20" t="str">
            <v>NG</v>
          </cell>
        </row>
        <row r="21">
          <cell r="A21">
            <v>13</v>
          </cell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 t="str">
            <v>NG</v>
          </cell>
          <cell r="M21"/>
          <cell r="N21">
            <v>25</v>
          </cell>
          <cell r="O21">
            <v>68</v>
          </cell>
          <cell r="P21"/>
          <cell r="Q21" t="str">
            <v>NG</v>
          </cell>
          <cell r="R21"/>
          <cell r="S21"/>
          <cell r="T21"/>
          <cell r="U21"/>
          <cell r="V21" t="str">
            <v>NG</v>
          </cell>
          <cell r="W21"/>
          <cell r="X21"/>
          <cell r="Y21"/>
          <cell r="Z21"/>
          <cell r="AA21" t="str">
            <v>NG</v>
          </cell>
          <cell r="AB21"/>
          <cell r="AC21"/>
          <cell r="AD21"/>
          <cell r="AE21"/>
          <cell r="AF21" t="str">
            <v>NG</v>
          </cell>
        </row>
        <row r="22">
          <cell r="A22">
            <v>14</v>
          </cell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 t="str">
            <v>NG</v>
          </cell>
          <cell r="M22"/>
          <cell r="N22">
            <v>25</v>
          </cell>
          <cell r="O22">
            <v>68</v>
          </cell>
          <cell r="P22"/>
          <cell r="Q22" t="str">
            <v>NG</v>
          </cell>
          <cell r="R22"/>
          <cell r="S22"/>
          <cell r="T22"/>
          <cell r="U22"/>
          <cell r="V22" t="str">
            <v>NG</v>
          </cell>
          <cell r="W22"/>
          <cell r="X22"/>
          <cell r="Y22"/>
          <cell r="Z22"/>
          <cell r="AA22" t="str">
            <v>NG</v>
          </cell>
          <cell r="AB22"/>
          <cell r="AC22"/>
          <cell r="AD22"/>
          <cell r="AE22"/>
          <cell r="AF22" t="str">
            <v>NG</v>
          </cell>
        </row>
        <row r="23">
          <cell r="A23">
            <v>15</v>
          </cell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 t="str">
            <v>NG</v>
          </cell>
          <cell r="M23"/>
          <cell r="N23">
            <v>25</v>
          </cell>
          <cell r="O23">
            <v>68</v>
          </cell>
          <cell r="P23"/>
          <cell r="Q23" t="str">
            <v>NG</v>
          </cell>
          <cell r="R23"/>
          <cell r="S23"/>
          <cell r="T23"/>
          <cell r="U23"/>
          <cell r="V23" t="str">
            <v>NG</v>
          </cell>
          <cell r="W23"/>
          <cell r="X23"/>
          <cell r="Y23"/>
          <cell r="Z23"/>
          <cell r="AA23" t="str">
            <v>NG</v>
          </cell>
          <cell r="AB23"/>
          <cell r="AC23"/>
          <cell r="AD23"/>
          <cell r="AE23"/>
          <cell r="AF23" t="str">
            <v>NG</v>
          </cell>
        </row>
        <row r="24">
          <cell r="A24">
            <v>16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 t="str">
            <v>NG</v>
          </cell>
          <cell r="M24"/>
          <cell r="N24">
            <v>25</v>
          </cell>
          <cell r="O24">
            <v>68</v>
          </cell>
          <cell r="P24"/>
          <cell r="Q24" t="str">
            <v>NG</v>
          </cell>
          <cell r="R24"/>
          <cell r="S24"/>
          <cell r="T24"/>
          <cell r="U24"/>
          <cell r="V24" t="str">
            <v>NG</v>
          </cell>
          <cell r="W24"/>
          <cell r="X24"/>
          <cell r="Y24"/>
          <cell r="Z24"/>
          <cell r="AA24" t="str">
            <v>NG</v>
          </cell>
          <cell r="AB24"/>
          <cell r="AC24"/>
          <cell r="AD24"/>
          <cell r="AE24"/>
          <cell r="AF24" t="str">
            <v>NG</v>
          </cell>
        </row>
        <row r="25">
          <cell r="A25">
            <v>17</v>
          </cell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 t="str">
            <v>NG</v>
          </cell>
          <cell r="M25"/>
          <cell r="N25">
            <v>25</v>
          </cell>
          <cell r="O25">
            <v>68</v>
          </cell>
          <cell r="P25"/>
          <cell r="Q25" t="str">
            <v>NG</v>
          </cell>
          <cell r="R25"/>
          <cell r="S25"/>
          <cell r="T25"/>
          <cell r="U25"/>
          <cell r="V25" t="str">
            <v>NG</v>
          </cell>
          <cell r="W25"/>
          <cell r="X25"/>
          <cell r="Y25"/>
          <cell r="Z25"/>
          <cell r="AA25" t="str">
            <v>NG</v>
          </cell>
          <cell r="AB25"/>
          <cell r="AC25"/>
          <cell r="AD25"/>
          <cell r="AE25"/>
          <cell r="AF25" t="str">
            <v>NG</v>
          </cell>
        </row>
        <row r="26">
          <cell r="A26">
            <v>18</v>
          </cell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 t="str">
            <v>NG</v>
          </cell>
          <cell r="M26"/>
          <cell r="N26">
            <v>25</v>
          </cell>
          <cell r="O26">
            <v>68</v>
          </cell>
          <cell r="P26"/>
          <cell r="Q26" t="str">
            <v>NG</v>
          </cell>
          <cell r="R26"/>
          <cell r="S26"/>
          <cell r="T26"/>
          <cell r="U26"/>
          <cell r="V26" t="str">
            <v>NG</v>
          </cell>
          <cell r="W26"/>
          <cell r="X26"/>
          <cell r="Y26"/>
          <cell r="Z26"/>
          <cell r="AA26" t="str">
            <v>NG</v>
          </cell>
          <cell r="AB26"/>
          <cell r="AC26"/>
          <cell r="AD26"/>
          <cell r="AE26"/>
          <cell r="AF26" t="str">
            <v>NG</v>
          </cell>
        </row>
        <row r="27">
          <cell r="A27">
            <v>19</v>
          </cell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 t="str">
            <v>NG</v>
          </cell>
          <cell r="M27"/>
          <cell r="N27">
            <v>25</v>
          </cell>
          <cell r="O27">
            <v>68</v>
          </cell>
          <cell r="P27"/>
          <cell r="Q27" t="str">
            <v>NG</v>
          </cell>
          <cell r="R27"/>
          <cell r="S27"/>
          <cell r="T27"/>
          <cell r="U27"/>
          <cell r="V27" t="str">
            <v>NG</v>
          </cell>
          <cell r="W27"/>
          <cell r="X27"/>
          <cell r="Y27"/>
          <cell r="Z27"/>
          <cell r="AA27" t="str">
            <v>NG</v>
          </cell>
          <cell r="AB27"/>
          <cell r="AC27"/>
          <cell r="AD27"/>
          <cell r="AE27"/>
          <cell r="AF27" t="str">
            <v>NG</v>
          </cell>
        </row>
        <row r="28">
          <cell r="A28">
            <v>20</v>
          </cell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 t="str">
            <v>NG</v>
          </cell>
          <cell r="M28"/>
          <cell r="N28">
            <v>25</v>
          </cell>
          <cell r="O28">
            <v>68</v>
          </cell>
          <cell r="P28"/>
          <cell r="Q28" t="str">
            <v>NG</v>
          </cell>
          <cell r="R28"/>
          <cell r="S28"/>
          <cell r="T28"/>
          <cell r="U28"/>
          <cell r="V28" t="str">
            <v>NG</v>
          </cell>
          <cell r="W28"/>
          <cell r="X28"/>
          <cell r="Y28"/>
          <cell r="Z28"/>
          <cell r="AA28" t="str">
            <v>NG</v>
          </cell>
          <cell r="AB28"/>
          <cell r="AC28"/>
          <cell r="AD28"/>
          <cell r="AE28"/>
          <cell r="AF28" t="str">
            <v>NG</v>
          </cell>
        </row>
        <row r="29">
          <cell r="A29">
            <v>21</v>
          </cell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 t="str">
            <v>NG</v>
          </cell>
          <cell r="M29"/>
          <cell r="N29">
            <v>25</v>
          </cell>
          <cell r="O29">
            <v>68</v>
          </cell>
          <cell r="P29"/>
          <cell r="Q29" t="str">
            <v>NG</v>
          </cell>
          <cell r="R29"/>
          <cell r="S29"/>
          <cell r="T29"/>
          <cell r="U29"/>
          <cell r="V29" t="str">
            <v>NG</v>
          </cell>
          <cell r="W29"/>
          <cell r="X29"/>
          <cell r="Y29"/>
          <cell r="Z29"/>
          <cell r="AA29" t="str">
            <v>NG</v>
          </cell>
          <cell r="AB29"/>
          <cell r="AC29"/>
          <cell r="AD29"/>
          <cell r="AE29"/>
          <cell r="AF29" t="str">
            <v>NG</v>
          </cell>
        </row>
        <row r="30">
          <cell r="A30">
            <v>22</v>
          </cell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 t="str">
            <v>NG</v>
          </cell>
          <cell r="M30"/>
          <cell r="N30">
            <v>25</v>
          </cell>
          <cell r="O30">
            <v>68</v>
          </cell>
          <cell r="P30"/>
          <cell r="Q30" t="str">
            <v>NG</v>
          </cell>
          <cell r="R30"/>
          <cell r="S30"/>
          <cell r="T30"/>
          <cell r="U30"/>
          <cell r="V30" t="str">
            <v>NG</v>
          </cell>
          <cell r="W30"/>
          <cell r="X30"/>
          <cell r="Y30"/>
          <cell r="Z30"/>
          <cell r="AA30" t="str">
            <v>NG</v>
          </cell>
          <cell r="AB30"/>
          <cell r="AC30"/>
          <cell r="AD30"/>
          <cell r="AE30"/>
          <cell r="AF30" t="str">
            <v>NG</v>
          </cell>
        </row>
        <row r="31">
          <cell r="A31">
            <v>23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 t="str">
            <v>NG</v>
          </cell>
          <cell r="M31"/>
          <cell r="N31">
            <v>25</v>
          </cell>
          <cell r="O31">
            <v>68</v>
          </cell>
          <cell r="P31"/>
          <cell r="Q31" t="str">
            <v>NG</v>
          </cell>
          <cell r="R31"/>
          <cell r="S31"/>
          <cell r="T31"/>
          <cell r="U31"/>
          <cell r="V31" t="str">
            <v>NG</v>
          </cell>
          <cell r="W31"/>
          <cell r="X31"/>
          <cell r="Y31"/>
          <cell r="Z31"/>
          <cell r="AA31" t="str">
            <v>NG</v>
          </cell>
          <cell r="AB31"/>
          <cell r="AC31"/>
          <cell r="AD31"/>
          <cell r="AE31"/>
          <cell r="AF31" t="str">
            <v>NG</v>
          </cell>
        </row>
        <row r="32">
          <cell r="A32">
            <v>24</v>
          </cell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 t="str">
            <v>NG</v>
          </cell>
          <cell r="M32"/>
          <cell r="N32">
            <v>25</v>
          </cell>
          <cell r="O32">
            <v>68</v>
          </cell>
          <cell r="P32"/>
          <cell r="Q32" t="str">
            <v>NG</v>
          </cell>
          <cell r="R32"/>
          <cell r="S32"/>
          <cell r="T32"/>
          <cell r="U32"/>
          <cell r="V32" t="str">
            <v>NG</v>
          </cell>
          <cell r="W32"/>
          <cell r="X32"/>
          <cell r="Y32"/>
          <cell r="Z32"/>
          <cell r="AA32" t="str">
            <v>NG</v>
          </cell>
          <cell r="AB32"/>
          <cell r="AC32"/>
          <cell r="AD32"/>
          <cell r="AE32"/>
          <cell r="AF32" t="str">
            <v>NG</v>
          </cell>
        </row>
        <row r="33">
          <cell r="A33">
            <v>25</v>
          </cell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 t="str">
            <v>NG</v>
          </cell>
          <cell r="M33"/>
          <cell r="N33">
            <v>25</v>
          </cell>
          <cell r="O33">
            <v>68</v>
          </cell>
          <cell r="P33"/>
          <cell r="Q33" t="str">
            <v>NG</v>
          </cell>
          <cell r="R33"/>
          <cell r="S33"/>
          <cell r="T33"/>
          <cell r="U33"/>
          <cell r="V33" t="str">
            <v>NG</v>
          </cell>
          <cell r="W33"/>
          <cell r="X33"/>
          <cell r="Y33"/>
          <cell r="Z33"/>
          <cell r="AA33" t="str">
            <v>NG</v>
          </cell>
          <cell r="AB33"/>
          <cell r="AC33"/>
          <cell r="AD33"/>
          <cell r="AE33"/>
          <cell r="AF33" t="str">
            <v>NG</v>
          </cell>
        </row>
        <row r="34">
          <cell r="A34">
            <v>26</v>
          </cell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 t="str">
            <v>NG</v>
          </cell>
          <cell r="M34"/>
          <cell r="N34">
            <v>25</v>
          </cell>
          <cell r="O34">
            <v>68</v>
          </cell>
          <cell r="P34"/>
          <cell r="Q34" t="str">
            <v>NG</v>
          </cell>
          <cell r="R34"/>
          <cell r="S34"/>
          <cell r="T34"/>
          <cell r="U34"/>
          <cell r="V34" t="str">
            <v>NG</v>
          </cell>
          <cell r="W34"/>
          <cell r="X34"/>
          <cell r="Y34"/>
          <cell r="Z34"/>
          <cell r="AA34" t="str">
            <v>NG</v>
          </cell>
          <cell r="AB34"/>
          <cell r="AC34"/>
          <cell r="AD34"/>
          <cell r="AE34"/>
          <cell r="AF34" t="str">
            <v>NG</v>
          </cell>
        </row>
      </sheetData>
      <sheetData sheetId="1">
        <row r="9">
          <cell r="A9">
            <v>1</v>
          </cell>
          <cell r="B9" t="str">
            <v>A</v>
          </cell>
          <cell r="C9">
            <v>62887</v>
          </cell>
          <cell r="D9">
            <v>120</v>
          </cell>
          <cell r="E9">
            <v>118</v>
          </cell>
          <cell r="F9">
            <v>98.333333333333329</v>
          </cell>
          <cell r="G9">
            <v>18</v>
          </cell>
          <cell r="H9">
            <v>15</v>
          </cell>
          <cell r="I9">
            <v>45</v>
          </cell>
          <cell r="J9">
            <v>75</v>
          </cell>
          <cell r="K9" t="str">
            <v>B+</v>
          </cell>
          <cell r="L9">
            <v>37</v>
          </cell>
          <cell r="M9">
            <v>25</v>
          </cell>
          <cell r="N9">
            <v>67</v>
          </cell>
          <cell r="O9">
            <v>67</v>
          </cell>
          <cell r="P9" t="str">
            <v>B</v>
          </cell>
          <cell r="Q9">
            <v>26</v>
          </cell>
          <cell r="R9">
            <v>15</v>
          </cell>
          <cell r="S9">
            <v>44</v>
          </cell>
          <cell r="T9">
            <v>73.333333333333329</v>
          </cell>
          <cell r="U9" t="str">
            <v>B+</v>
          </cell>
          <cell r="V9">
            <v>33</v>
          </cell>
          <cell r="W9">
            <v>27</v>
          </cell>
          <cell r="X9">
            <v>88</v>
          </cell>
          <cell r="Y9">
            <v>81.481481481481481</v>
          </cell>
          <cell r="Z9" t="str">
            <v>A</v>
          </cell>
          <cell r="AA9">
            <v>29</v>
          </cell>
          <cell r="AB9">
            <v>23</v>
          </cell>
          <cell r="AC9">
            <v>60</v>
          </cell>
          <cell r="AD9">
            <v>65.217391304347828</v>
          </cell>
          <cell r="AE9" t="str">
            <v>B</v>
          </cell>
        </row>
        <row r="10">
          <cell r="A10">
            <v>2</v>
          </cell>
          <cell r="B10" t="str">
            <v>B</v>
          </cell>
          <cell r="C10">
            <v>62888</v>
          </cell>
          <cell r="D10">
            <v>120</v>
          </cell>
          <cell r="E10">
            <v>118</v>
          </cell>
          <cell r="F10">
            <v>98.333333333333329</v>
          </cell>
          <cell r="G10">
            <v>18</v>
          </cell>
          <cell r="H10">
            <v>15</v>
          </cell>
          <cell r="I10">
            <v>45</v>
          </cell>
          <cell r="J10">
            <v>75</v>
          </cell>
          <cell r="K10" t="str">
            <v>B+</v>
          </cell>
          <cell r="L10">
            <v>37</v>
          </cell>
          <cell r="M10">
            <v>25</v>
          </cell>
          <cell r="N10">
            <v>67</v>
          </cell>
          <cell r="O10">
            <v>67</v>
          </cell>
          <cell r="P10" t="str">
            <v>B</v>
          </cell>
          <cell r="Q10">
            <v>26</v>
          </cell>
          <cell r="R10">
            <v>15</v>
          </cell>
          <cell r="S10">
            <v>44</v>
          </cell>
          <cell r="T10">
            <v>73.333333333333329</v>
          </cell>
          <cell r="U10" t="str">
            <v>B+</v>
          </cell>
          <cell r="V10">
            <v>33</v>
          </cell>
          <cell r="W10">
            <v>27</v>
          </cell>
          <cell r="X10">
            <v>88</v>
          </cell>
          <cell r="Y10">
            <v>81.481481481481481</v>
          </cell>
          <cell r="Z10" t="str">
            <v>A</v>
          </cell>
          <cell r="AA10">
            <v>29</v>
          </cell>
          <cell r="AB10">
            <v>23</v>
          </cell>
          <cell r="AC10">
            <v>60</v>
          </cell>
          <cell r="AD10">
            <v>65.217391304347828</v>
          </cell>
          <cell r="AE10" t="str">
            <v>B</v>
          </cell>
        </row>
        <row r="11">
          <cell r="A11">
            <v>3</v>
          </cell>
          <cell r="B11" t="str">
            <v>C</v>
          </cell>
          <cell r="C11">
            <v>62889</v>
          </cell>
          <cell r="D11">
            <v>120</v>
          </cell>
          <cell r="E11">
            <v>118</v>
          </cell>
          <cell r="F11">
            <v>98.333333333333329</v>
          </cell>
          <cell r="G11">
            <v>18</v>
          </cell>
          <cell r="H11">
            <v>15</v>
          </cell>
          <cell r="I11">
            <v>45</v>
          </cell>
          <cell r="J11">
            <v>75</v>
          </cell>
          <cell r="K11" t="str">
            <v>B+</v>
          </cell>
          <cell r="L11">
            <v>37</v>
          </cell>
          <cell r="M11">
            <v>25</v>
          </cell>
          <cell r="N11">
            <v>67</v>
          </cell>
          <cell r="O11">
            <v>67</v>
          </cell>
          <cell r="P11" t="str">
            <v>B</v>
          </cell>
          <cell r="Q11">
            <v>26</v>
          </cell>
          <cell r="R11">
            <v>15</v>
          </cell>
          <cell r="S11">
            <v>44</v>
          </cell>
          <cell r="T11">
            <v>73.333333333333329</v>
          </cell>
          <cell r="U11" t="str">
            <v>B+</v>
          </cell>
          <cell r="V11">
            <v>33</v>
          </cell>
          <cell r="W11">
            <v>27</v>
          </cell>
          <cell r="X11">
            <v>88</v>
          </cell>
          <cell r="Y11">
            <v>81.481481481481481</v>
          </cell>
          <cell r="Z11" t="str">
            <v>A</v>
          </cell>
          <cell r="AA11">
            <v>29</v>
          </cell>
          <cell r="AB11">
            <v>23</v>
          </cell>
          <cell r="AC11">
            <v>60</v>
          </cell>
          <cell r="AD11">
            <v>65.217391304347828</v>
          </cell>
          <cell r="AE11" t="str">
            <v>B</v>
          </cell>
        </row>
        <row r="12">
          <cell r="A12">
            <v>4</v>
          </cell>
          <cell r="B12" t="str">
            <v>D</v>
          </cell>
          <cell r="C12">
            <v>62890</v>
          </cell>
          <cell r="D12">
            <v>120</v>
          </cell>
          <cell r="E12">
            <v>118</v>
          </cell>
          <cell r="F12">
            <v>98.333333333333329</v>
          </cell>
          <cell r="G12">
            <v>18</v>
          </cell>
          <cell r="H12">
            <v>15</v>
          </cell>
          <cell r="I12">
            <v>45</v>
          </cell>
          <cell r="J12">
            <v>75</v>
          </cell>
          <cell r="K12" t="str">
            <v>B+</v>
          </cell>
          <cell r="L12">
            <v>37</v>
          </cell>
          <cell r="M12">
            <v>25</v>
          </cell>
          <cell r="N12">
            <v>67</v>
          </cell>
          <cell r="O12">
            <v>67</v>
          </cell>
          <cell r="P12" t="str">
            <v>B</v>
          </cell>
          <cell r="Q12">
            <v>26</v>
          </cell>
          <cell r="R12">
            <v>15</v>
          </cell>
          <cell r="S12">
            <v>44</v>
          </cell>
          <cell r="T12">
            <v>73.333333333333329</v>
          </cell>
          <cell r="U12" t="str">
            <v>B+</v>
          </cell>
          <cell r="V12">
            <v>33</v>
          </cell>
          <cell r="W12">
            <v>27</v>
          </cell>
          <cell r="X12">
            <v>88</v>
          </cell>
          <cell r="Y12">
            <v>81.481481481481481</v>
          </cell>
          <cell r="Z12" t="str">
            <v>A</v>
          </cell>
          <cell r="AA12">
            <v>29</v>
          </cell>
          <cell r="AB12">
            <v>23</v>
          </cell>
          <cell r="AC12">
            <v>60</v>
          </cell>
          <cell r="AD12">
            <v>65.217391304347828</v>
          </cell>
          <cell r="AE12" t="str">
            <v>B</v>
          </cell>
        </row>
        <row r="13">
          <cell r="A13">
            <v>5</v>
          </cell>
          <cell r="B13" t="str">
            <v>E</v>
          </cell>
          <cell r="C13">
            <v>62891</v>
          </cell>
          <cell r="D13">
            <v>120</v>
          </cell>
          <cell r="E13">
            <v>118</v>
          </cell>
          <cell r="F13">
            <v>98.333333333333329</v>
          </cell>
          <cell r="G13">
            <v>18</v>
          </cell>
          <cell r="H13">
            <v>15</v>
          </cell>
          <cell r="I13">
            <v>45</v>
          </cell>
          <cell r="J13">
            <v>75</v>
          </cell>
          <cell r="K13" t="str">
            <v>B+</v>
          </cell>
          <cell r="L13">
            <v>37</v>
          </cell>
          <cell r="M13">
            <v>25</v>
          </cell>
          <cell r="N13">
            <v>67</v>
          </cell>
          <cell r="O13">
            <v>67</v>
          </cell>
          <cell r="P13" t="str">
            <v>B</v>
          </cell>
          <cell r="Q13">
            <v>26</v>
          </cell>
          <cell r="R13">
            <v>15</v>
          </cell>
          <cell r="S13">
            <v>44</v>
          </cell>
          <cell r="T13">
            <v>73.333333333333329</v>
          </cell>
          <cell r="U13" t="str">
            <v>B+</v>
          </cell>
          <cell r="V13">
            <v>33</v>
          </cell>
          <cell r="W13">
            <v>27</v>
          </cell>
          <cell r="X13">
            <v>88</v>
          </cell>
          <cell r="Y13">
            <v>81.481481481481481</v>
          </cell>
          <cell r="Z13" t="str">
            <v>A</v>
          </cell>
          <cell r="AA13">
            <v>29</v>
          </cell>
          <cell r="AB13">
            <v>23</v>
          </cell>
          <cell r="AC13">
            <v>60</v>
          </cell>
          <cell r="AD13">
            <v>65.217391304347828</v>
          </cell>
          <cell r="AE13" t="str">
            <v>B</v>
          </cell>
        </row>
        <row r="14">
          <cell r="A14">
            <v>6</v>
          </cell>
          <cell r="B14" t="str">
            <v>F</v>
          </cell>
          <cell r="C14">
            <v>62892</v>
          </cell>
          <cell r="D14">
            <v>120</v>
          </cell>
          <cell r="E14">
            <v>118</v>
          </cell>
          <cell r="F14">
            <v>98.333333333333329</v>
          </cell>
          <cell r="G14">
            <v>18</v>
          </cell>
          <cell r="H14">
            <v>15</v>
          </cell>
          <cell r="I14">
            <v>45</v>
          </cell>
          <cell r="J14">
            <v>75</v>
          </cell>
          <cell r="K14" t="str">
            <v>B+</v>
          </cell>
          <cell r="L14">
            <v>37</v>
          </cell>
          <cell r="M14">
            <v>25</v>
          </cell>
          <cell r="N14">
            <v>67</v>
          </cell>
          <cell r="O14">
            <v>67</v>
          </cell>
          <cell r="P14" t="str">
            <v>B</v>
          </cell>
          <cell r="Q14">
            <v>26</v>
          </cell>
          <cell r="R14">
            <v>15</v>
          </cell>
          <cell r="S14">
            <v>44</v>
          </cell>
          <cell r="T14">
            <v>73.333333333333329</v>
          </cell>
          <cell r="U14" t="str">
            <v>B+</v>
          </cell>
          <cell r="V14">
            <v>33</v>
          </cell>
          <cell r="W14">
            <v>27</v>
          </cell>
          <cell r="X14">
            <v>88</v>
          </cell>
          <cell r="Y14">
            <v>81.481481481481481</v>
          </cell>
          <cell r="Z14" t="str">
            <v>A</v>
          </cell>
          <cell r="AA14">
            <v>29</v>
          </cell>
          <cell r="AB14">
            <v>23</v>
          </cell>
          <cell r="AC14">
            <v>60</v>
          </cell>
          <cell r="AD14">
            <v>65.217391304347828</v>
          </cell>
          <cell r="AE14" t="str">
            <v>B</v>
          </cell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 t="str">
            <v>NG</v>
          </cell>
          <cell r="L15"/>
          <cell r="M15"/>
          <cell r="N15"/>
          <cell r="O15" t="e">
            <v>#DIV/0!</v>
          </cell>
          <cell r="P15" t="e">
            <v>#DIV/0!</v>
          </cell>
          <cell r="Q15">
            <v>25</v>
          </cell>
          <cell r="R15">
            <v>9</v>
          </cell>
          <cell r="S15">
            <v>44</v>
          </cell>
          <cell r="T15">
            <v>122.22222222222223</v>
          </cell>
          <cell r="U15" t="str">
            <v>A+</v>
          </cell>
          <cell r="V15"/>
          <cell r="W15"/>
          <cell r="X15"/>
          <cell r="Y15" t="e">
            <v>#DIV/0!</v>
          </cell>
          <cell r="Z15" t="e">
            <v>#DIV/0!</v>
          </cell>
          <cell r="AA15"/>
          <cell r="AB15"/>
          <cell r="AC15"/>
          <cell r="AD15" t="e">
            <v>#DIV/0!</v>
          </cell>
          <cell r="AE15" t="e">
            <v>#DIV/0!</v>
          </cell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 t="str">
            <v>NG</v>
          </cell>
          <cell r="L16"/>
          <cell r="M16"/>
          <cell r="N16"/>
          <cell r="O16" t="e">
            <v>#DIV/0!</v>
          </cell>
          <cell r="P16" t="e">
            <v>#DIV/0!</v>
          </cell>
          <cell r="Q16"/>
          <cell r="R16"/>
          <cell r="S16">
            <v>44</v>
          </cell>
          <cell r="T16" t="e">
            <v>#DIV/0!</v>
          </cell>
          <cell r="U16" t="e">
            <v>#DIV/0!</v>
          </cell>
          <cell r="V16"/>
          <cell r="W16"/>
          <cell r="X16"/>
          <cell r="Y16" t="e">
            <v>#DIV/0!</v>
          </cell>
          <cell r="Z16" t="e">
            <v>#DIV/0!</v>
          </cell>
          <cell r="AA16"/>
          <cell r="AB16"/>
          <cell r="AC16"/>
          <cell r="AD16" t="e">
            <v>#DIV/0!</v>
          </cell>
          <cell r="AE16" t="e">
            <v>#DIV/0!</v>
          </cell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 t="str">
            <v>NG</v>
          </cell>
          <cell r="L17"/>
          <cell r="M17"/>
          <cell r="N17"/>
          <cell r="O17" t="e">
            <v>#DIV/0!</v>
          </cell>
          <cell r="P17" t="e">
            <v>#DIV/0!</v>
          </cell>
          <cell r="Q17"/>
          <cell r="R17"/>
          <cell r="S17">
            <v>44</v>
          </cell>
          <cell r="T17" t="e">
            <v>#DIV/0!</v>
          </cell>
          <cell r="U17" t="e">
            <v>#DIV/0!</v>
          </cell>
          <cell r="V17"/>
          <cell r="W17"/>
          <cell r="X17"/>
          <cell r="Y17" t="e">
            <v>#DIV/0!</v>
          </cell>
          <cell r="Z17" t="e">
            <v>#DIV/0!</v>
          </cell>
          <cell r="AA17"/>
          <cell r="AB17"/>
          <cell r="AC17"/>
          <cell r="AD17" t="e">
            <v>#DIV/0!</v>
          </cell>
          <cell r="AE17" t="e">
            <v>#DIV/0!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 t="str">
            <v>NG</v>
          </cell>
          <cell r="L18"/>
          <cell r="M18"/>
          <cell r="N18"/>
          <cell r="O18" t="e">
            <v>#DIV/0!</v>
          </cell>
          <cell r="P18" t="e">
            <v>#DIV/0!</v>
          </cell>
          <cell r="Q18"/>
          <cell r="R18"/>
          <cell r="S18">
            <v>44</v>
          </cell>
          <cell r="T18" t="e">
            <v>#DIV/0!</v>
          </cell>
          <cell r="U18" t="e">
            <v>#DIV/0!</v>
          </cell>
          <cell r="V18"/>
          <cell r="W18"/>
          <cell r="X18"/>
          <cell r="Y18" t="e">
            <v>#DIV/0!</v>
          </cell>
          <cell r="Z18" t="e">
            <v>#DIV/0!</v>
          </cell>
          <cell r="AA18"/>
          <cell r="AB18"/>
          <cell r="AC18"/>
          <cell r="AD18" t="e">
            <v>#DIV/0!</v>
          </cell>
          <cell r="AE18" t="e">
            <v>#DIV/0!</v>
          </cell>
        </row>
        <row r="19">
          <cell r="A19"/>
          <cell r="B19"/>
          <cell r="C19"/>
          <cell r="D19"/>
          <cell r="E19"/>
          <cell r="F19"/>
          <cell r="G19"/>
          <cell r="H19"/>
          <cell r="I19"/>
          <cell r="J19"/>
          <cell r="K19" t="str">
            <v>NG</v>
          </cell>
          <cell r="L19"/>
          <cell r="M19"/>
          <cell r="N19"/>
          <cell r="O19" t="e">
            <v>#DIV/0!</v>
          </cell>
          <cell r="P19" t="e">
            <v>#DIV/0!</v>
          </cell>
          <cell r="Q19"/>
          <cell r="R19"/>
          <cell r="S19">
            <v>44</v>
          </cell>
          <cell r="T19" t="e">
            <v>#DIV/0!</v>
          </cell>
          <cell r="U19" t="e">
            <v>#DIV/0!</v>
          </cell>
          <cell r="V19"/>
          <cell r="W19"/>
          <cell r="X19"/>
          <cell r="Y19" t="e">
            <v>#DIV/0!</v>
          </cell>
          <cell r="Z19" t="e">
            <v>#DIV/0!</v>
          </cell>
          <cell r="AA19"/>
          <cell r="AB19"/>
          <cell r="AC19"/>
          <cell r="AD19" t="e">
            <v>#DIV/0!</v>
          </cell>
          <cell r="AE19" t="e">
            <v>#DIV/0!</v>
          </cell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 t="str">
            <v>NG</v>
          </cell>
          <cell r="L20"/>
          <cell r="M20"/>
          <cell r="N20"/>
          <cell r="O20" t="e">
            <v>#DIV/0!</v>
          </cell>
          <cell r="P20" t="e">
            <v>#DIV/0!</v>
          </cell>
          <cell r="Q20"/>
          <cell r="R20"/>
          <cell r="S20">
            <v>44</v>
          </cell>
          <cell r="T20" t="e">
            <v>#DIV/0!</v>
          </cell>
          <cell r="U20" t="e">
            <v>#DIV/0!</v>
          </cell>
          <cell r="V20"/>
          <cell r="W20"/>
          <cell r="X20"/>
          <cell r="Y20" t="e">
            <v>#DIV/0!</v>
          </cell>
          <cell r="Z20" t="e">
            <v>#DIV/0!</v>
          </cell>
          <cell r="AA20"/>
          <cell r="AB20"/>
          <cell r="AC20"/>
          <cell r="AD20" t="e">
            <v>#DIV/0!</v>
          </cell>
          <cell r="AE20" t="e">
            <v>#DIV/0!</v>
          </cell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 t="str">
            <v>NG</v>
          </cell>
          <cell r="L21"/>
          <cell r="M21"/>
          <cell r="N21"/>
          <cell r="O21" t="e">
            <v>#DIV/0!</v>
          </cell>
          <cell r="P21" t="e">
            <v>#DIV/0!</v>
          </cell>
          <cell r="Q21"/>
          <cell r="R21"/>
          <cell r="S21">
            <v>44</v>
          </cell>
          <cell r="T21" t="e">
            <v>#DIV/0!</v>
          </cell>
          <cell r="U21" t="e">
            <v>#DIV/0!</v>
          </cell>
          <cell r="V21"/>
          <cell r="W21"/>
          <cell r="X21"/>
          <cell r="Y21" t="e">
            <v>#DIV/0!</v>
          </cell>
          <cell r="Z21" t="e">
            <v>#DIV/0!</v>
          </cell>
          <cell r="AA21"/>
          <cell r="AB21"/>
          <cell r="AC21"/>
          <cell r="AD21" t="e">
            <v>#DIV/0!</v>
          </cell>
          <cell r="AE21" t="e">
            <v>#DIV/0!</v>
          </cell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 t="str">
            <v>NG</v>
          </cell>
          <cell r="L22"/>
          <cell r="M22"/>
          <cell r="N22"/>
          <cell r="O22" t="e">
            <v>#DIV/0!</v>
          </cell>
          <cell r="P22" t="e">
            <v>#DIV/0!</v>
          </cell>
          <cell r="Q22"/>
          <cell r="R22"/>
          <cell r="S22">
            <v>44</v>
          </cell>
          <cell r="T22" t="e">
            <v>#DIV/0!</v>
          </cell>
          <cell r="U22" t="e">
            <v>#DIV/0!</v>
          </cell>
          <cell r="V22"/>
          <cell r="W22"/>
          <cell r="X22"/>
          <cell r="Y22" t="e">
            <v>#DIV/0!</v>
          </cell>
          <cell r="Z22" t="e">
            <v>#DIV/0!</v>
          </cell>
          <cell r="AA22"/>
          <cell r="AB22"/>
          <cell r="AC22"/>
          <cell r="AD22" t="e">
            <v>#DIV/0!</v>
          </cell>
          <cell r="AE22" t="e">
            <v>#DIV/0!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 t="str">
            <v>NG</v>
          </cell>
          <cell r="L23"/>
          <cell r="M23"/>
          <cell r="N23"/>
          <cell r="O23" t="e">
            <v>#DIV/0!</v>
          </cell>
          <cell r="P23" t="e">
            <v>#DIV/0!</v>
          </cell>
          <cell r="Q23"/>
          <cell r="R23"/>
          <cell r="S23">
            <v>44</v>
          </cell>
          <cell r="T23" t="e">
            <v>#DIV/0!</v>
          </cell>
          <cell r="U23" t="e">
            <v>#DIV/0!</v>
          </cell>
          <cell r="V23"/>
          <cell r="W23"/>
          <cell r="X23"/>
          <cell r="Y23" t="e">
            <v>#DIV/0!</v>
          </cell>
          <cell r="Z23" t="e">
            <v>#DIV/0!</v>
          </cell>
          <cell r="AA23"/>
          <cell r="AB23"/>
          <cell r="AC23"/>
          <cell r="AD23" t="e">
            <v>#DIV/0!</v>
          </cell>
          <cell r="AE23" t="e">
            <v>#DIV/0!</v>
          </cell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 t="str">
            <v>NG</v>
          </cell>
          <cell r="L24"/>
          <cell r="M24"/>
          <cell r="N24"/>
          <cell r="O24" t="e">
            <v>#DIV/0!</v>
          </cell>
          <cell r="P24" t="e">
            <v>#DIV/0!</v>
          </cell>
          <cell r="Q24"/>
          <cell r="R24"/>
          <cell r="S24">
            <v>44</v>
          </cell>
          <cell r="T24" t="e">
            <v>#DIV/0!</v>
          </cell>
          <cell r="U24" t="e">
            <v>#DIV/0!</v>
          </cell>
          <cell r="V24"/>
          <cell r="W24"/>
          <cell r="X24"/>
          <cell r="Y24" t="e">
            <v>#DIV/0!</v>
          </cell>
          <cell r="Z24" t="e">
            <v>#DIV/0!</v>
          </cell>
          <cell r="AA24"/>
          <cell r="AB24"/>
          <cell r="AC24"/>
          <cell r="AD24" t="e">
            <v>#DIV/0!</v>
          </cell>
          <cell r="AE24" t="e">
            <v>#DIV/0!</v>
          </cell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 t="str">
            <v>NG</v>
          </cell>
          <cell r="L25"/>
          <cell r="M25"/>
          <cell r="N25"/>
          <cell r="O25" t="e">
            <v>#DIV/0!</v>
          </cell>
          <cell r="P25" t="e">
            <v>#DIV/0!</v>
          </cell>
          <cell r="Q25">
            <v>25</v>
          </cell>
          <cell r="R25">
            <v>9</v>
          </cell>
          <cell r="S25">
            <v>33</v>
          </cell>
          <cell r="T25">
            <v>91.666666666666657</v>
          </cell>
          <cell r="U25" t="str">
            <v>A+</v>
          </cell>
          <cell r="V25"/>
          <cell r="W25"/>
          <cell r="X25"/>
          <cell r="Y25" t="e">
            <v>#DIV/0!</v>
          </cell>
          <cell r="Z25" t="e">
            <v>#DIV/0!</v>
          </cell>
          <cell r="AA25"/>
          <cell r="AB25"/>
          <cell r="AC25"/>
          <cell r="AD25" t="e">
            <v>#DIV/0!</v>
          </cell>
          <cell r="AE25" t="e">
            <v>#DIV/0!</v>
          </cell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 t="str">
            <v>NG</v>
          </cell>
          <cell r="L26"/>
          <cell r="M26"/>
          <cell r="N26"/>
          <cell r="O26" t="e">
            <v>#DIV/0!</v>
          </cell>
          <cell r="P26" t="e">
            <v>#DIV/0!</v>
          </cell>
          <cell r="Q26"/>
          <cell r="R26"/>
          <cell r="S26">
            <v>44</v>
          </cell>
          <cell r="T26" t="e">
            <v>#DIV/0!</v>
          </cell>
          <cell r="U26" t="e">
            <v>#DIV/0!</v>
          </cell>
          <cell r="V26"/>
          <cell r="W26"/>
          <cell r="X26"/>
          <cell r="Y26" t="e">
            <v>#DIV/0!</v>
          </cell>
          <cell r="Z26" t="e">
            <v>#DIV/0!</v>
          </cell>
          <cell r="AA26"/>
          <cell r="AB26"/>
          <cell r="AC26"/>
          <cell r="AD26" t="e">
            <v>#DIV/0!</v>
          </cell>
          <cell r="AE26" t="e">
            <v>#DIV/0!</v>
          </cell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 t="str">
            <v>NG</v>
          </cell>
          <cell r="L27"/>
          <cell r="M27"/>
          <cell r="N27"/>
          <cell r="O27" t="e">
            <v>#DIV/0!</v>
          </cell>
          <cell r="P27" t="e">
            <v>#DIV/0!</v>
          </cell>
          <cell r="Q27"/>
          <cell r="R27"/>
          <cell r="S27">
            <v>44</v>
          </cell>
          <cell r="T27" t="e">
            <v>#DIV/0!</v>
          </cell>
          <cell r="U27" t="e">
            <v>#DIV/0!</v>
          </cell>
          <cell r="V27"/>
          <cell r="W27"/>
          <cell r="X27"/>
          <cell r="Y27" t="e">
            <v>#DIV/0!</v>
          </cell>
          <cell r="Z27" t="e">
            <v>#DIV/0!</v>
          </cell>
          <cell r="AA27"/>
          <cell r="AB27"/>
          <cell r="AC27"/>
          <cell r="AD27" t="e">
            <v>#DIV/0!</v>
          </cell>
          <cell r="AE27" t="e">
            <v>#DIV/0!</v>
          </cell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 t="str">
            <v>NG</v>
          </cell>
          <cell r="L28"/>
          <cell r="M28"/>
          <cell r="N28"/>
          <cell r="O28" t="e">
            <v>#DIV/0!</v>
          </cell>
          <cell r="P28" t="e">
            <v>#DIV/0!</v>
          </cell>
          <cell r="Q28"/>
          <cell r="R28"/>
          <cell r="S28">
            <v>44</v>
          </cell>
          <cell r="T28" t="e">
            <v>#DIV/0!</v>
          </cell>
          <cell r="U28" t="e">
            <v>#DIV/0!</v>
          </cell>
          <cell r="V28"/>
          <cell r="W28"/>
          <cell r="X28"/>
          <cell r="Y28" t="e">
            <v>#DIV/0!</v>
          </cell>
          <cell r="Z28" t="e">
            <v>#DIV/0!</v>
          </cell>
          <cell r="AA28"/>
          <cell r="AB28"/>
          <cell r="AC28"/>
          <cell r="AD28" t="e">
            <v>#DIV/0!</v>
          </cell>
          <cell r="AE28" t="e">
            <v>#DIV/0!</v>
          </cell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 t="str">
            <v>NG</v>
          </cell>
          <cell r="L29"/>
          <cell r="M29"/>
          <cell r="N29"/>
          <cell r="O29" t="e">
            <v>#DIV/0!</v>
          </cell>
          <cell r="P29" t="e">
            <v>#DIV/0!</v>
          </cell>
          <cell r="Q29"/>
          <cell r="R29"/>
          <cell r="S29">
            <v>44</v>
          </cell>
          <cell r="T29" t="e">
            <v>#DIV/0!</v>
          </cell>
          <cell r="U29" t="e">
            <v>#DIV/0!</v>
          </cell>
          <cell r="V29"/>
          <cell r="W29"/>
          <cell r="X29"/>
          <cell r="Y29" t="e">
            <v>#DIV/0!</v>
          </cell>
          <cell r="Z29" t="e">
            <v>#DIV/0!</v>
          </cell>
          <cell r="AA29"/>
          <cell r="AB29"/>
          <cell r="AC29"/>
          <cell r="AD29" t="e">
            <v>#DIV/0!</v>
          </cell>
          <cell r="AE29" t="e">
            <v>#DIV/0!</v>
          </cell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 t="str">
            <v>NG</v>
          </cell>
          <cell r="L30"/>
          <cell r="M30"/>
          <cell r="N30"/>
          <cell r="O30" t="e">
            <v>#DIV/0!</v>
          </cell>
          <cell r="P30" t="e">
            <v>#DIV/0!</v>
          </cell>
          <cell r="Q30"/>
          <cell r="R30"/>
          <cell r="S30"/>
          <cell r="T30" t="e">
            <v>#DIV/0!</v>
          </cell>
          <cell r="U30" t="e">
            <v>#DIV/0!</v>
          </cell>
          <cell r="V30"/>
          <cell r="W30"/>
          <cell r="X30"/>
          <cell r="Y30" t="e">
            <v>#DIV/0!</v>
          </cell>
          <cell r="Z30" t="e">
            <v>#DIV/0!</v>
          </cell>
          <cell r="AA30"/>
          <cell r="AB30"/>
          <cell r="AC30"/>
          <cell r="AD30" t="e">
            <v>#DIV/0!</v>
          </cell>
          <cell r="AE30" t="e">
            <v>#DIV/0!</v>
          </cell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 t="str">
            <v>NG</v>
          </cell>
          <cell r="L31"/>
          <cell r="M31"/>
          <cell r="N31"/>
          <cell r="O31" t="e">
            <v>#DIV/0!</v>
          </cell>
          <cell r="P31" t="e">
            <v>#DIV/0!</v>
          </cell>
          <cell r="Q31"/>
          <cell r="R31"/>
          <cell r="S31"/>
          <cell r="T31" t="e">
            <v>#DIV/0!</v>
          </cell>
          <cell r="U31" t="e">
            <v>#DIV/0!</v>
          </cell>
          <cell r="V31"/>
          <cell r="W31"/>
          <cell r="X31"/>
          <cell r="Y31" t="e">
            <v>#DIV/0!</v>
          </cell>
          <cell r="Z31" t="e">
            <v>#DIV/0!</v>
          </cell>
          <cell r="AA31"/>
          <cell r="AB31"/>
          <cell r="AC31"/>
          <cell r="AD31" t="e">
            <v>#DIV/0!</v>
          </cell>
          <cell r="AE31" t="e">
            <v>#DIV/0!</v>
          </cell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 t="str">
            <v>NG</v>
          </cell>
          <cell r="L32"/>
          <cell r="M32"/>
          <cell r="N32"/>
          <cell r="O32" t="e">
            <v>#DIV/0!</v>
          </cell>
          <cell r="P32" t="e">
            <v>#DIV/0!</v>
          </cell>
          <cell r="Q32"/>
          <cell r="R32"/>
          <cell r="S32"/>
          <cell r="T32" t="e">
            <v>#DIV/0!</v>
          </cell>
          <cell r="U32" t="e">
            <v>#DIV/0!</v>
          </cell>
          <cell r="V32"/>
          <cell r="W32"/>
          <cell r="X32"/>
          <cell r="Y32" t="e">
            <v>#DIV/0!</v>
          </cell>
          <cell r="Z32" t="e">
            <v>#DIV/0!</v>
          </cell>
          <cell r="AA32"/>
          <cell r="AB32"/>
          <cell r="AC32"/>
          <cell r="AD32" t="e">
            <v>#DIV/0!</v>
          </cell>
          <cell r="AE32" t="e">
            <v>#DIV/0!</v>
          </cell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 t="str">
            <v>NG</v>
          </cell>
          <cell r="L33"/>
          <cell r="M33"/>
          <cell r="N33"/>
          <cell r="O33" t="e">
            <v>#DIV/0!</v>
          </cell>
          <cell r="P33" t="e">
            <v>#DIV/0!</v>
          </cell>
          <cell r="Q33"/>
          <cell r="R33"/>
          <cell r="S33"/>
          <cell r="T33" t="e">
            <v>#DIV/0!</v>
          </cell>
          <cell r="U33" t="e">
            <v>#DIV/0!</v>
          </cell>
          <cell r="V33"/>
          <cell r="W33"/>
          <cell r="X33"/>
          <cell r="Y33" t="e">
            <v>#DIV/0!</v>
          </cell>
          <cell r="Z33" t="e">
            <v>#DIV/0!</v>
          </cell>
          <cell r="AA33"/>
          <cell r="AB33"/>
          <cell r="AC33"/>
          <cell r="AD33" t="e">
            <v>#DIV/0!</v>
          </cell>
          <cell r="AE33" t="e">
            <v>#DIV/0!</v>
          </cell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 t="str">
            <v>NG</v>
          </cell>
          <cell r="L34"/>
          <cell r="M34"/>
          <cell r="N34"/>
          <cell r="O34" t="e">
            <v>#DIV/0!</v>
          </cell>
          <cell r="P34" t="e">
            <v>#DIV/0!</v>
          </cell>
          <cell r="Q34"/>
          <cell r="R34"/>
          <cell r="S34"/>
          <cell r="T34" t="e">
            <v>#DIV/0!</v>
          </cell>
          <cell r="U34" t="e">
            <v>#DIV/0!</v>
          </cell>
          <cell r="V34"/>
          <cell r="W34"/>
          <cell r="X34"/>
          <cell r="Y34" t="e">
            <v>#DIV/0!</v>
          </cell>
          <cell r="Z34" t="e">
            <v>#DIV/0!</v>
          </cell>
          <cell r="AA34"/>
          <cell r="AB34"/>
          <cell r="AC34"/>
          <cell r="AD34" t="e">
            <v>#DIV/0!</v>
          </cell>
          <cell r="AE34" t="e">
            <v>#DIV/0!</v>
          </cell>
        </row>
        <row r="35">
          <cell r="A35">
            <v>7</v>
          </cell>
          <cell r="B35" t="str">
            <v>A</v>
          </cell>
          <cell r="C35">
            <v>62893</v>
          </cell>
          <cell r="D35">
            <v>120</v>
          </cell>
          <cell r="E35">
            <v>118</v>
          </cell>
          <cell r="F35">
            <v>98.333333333333329</v>
          </cell>
          <cell r="G35">
            <v>18</v>
          </cell>
          <cell r="H35">
            <v>15</v>
          </cell>
          <cell r="I35">
            <v>45</v>
          </cell>
          <cell r="J35">
            <v>75</v>
          </cell>
          <cell r="K35" t="str">
            <v>B+</v>
          </cell>
          <cell r="L35">
            <v>37</v>
          </cell>
          <cell r="M35">
            <v>25</v>
          </cell>
          <cell r="N35">
            <v>67</v>
          </cell>
          <cell r="O35">
            <v>67</v>
          </cell>
          <cell r="P35" t="str">
            <v>B</v>
          </cell>
          <cell r="Q35">
            <v>25.428571428571399</v>
          </cell>
          <cell r="R35">
            <v>11.5714285714286</v>
          </cell>
          <cell r="S35">
            <v>44</v>
          </cell>
          <cell r="T35">
            <v>95.061728395061493</v>
          </cell>
          <cell r="U35" t="str">
            <v>A+</v>
          </cell>
          <cell r="V35">
            <v>33</v>
          </cell>
          <cell r="W35">
            <v>27</v>
          </cell>
          <cell r="X35">
            <v>88</v>
          </cell>
          <cell r="Y35">
            <v>81.481481481481481</v>
          </cell>
          <cell r="Z35" t="str">
            <v>A</v>
          </cell>
          <cell r="AA35">
            <v>29</v>
          </cell>
          <cell r="AB35">
            <v>23</v>
          </cell>
          <cell r="AC35">
            <v>60</v>
          </cell>
          <cell r="AD35">
            <v>65.217391304347828</v>
          </cell>
          <cell r="AE35" t="str">
            <v>B</v>
          </cell>
        </row>
        <row r="36">
          <cell r="A36">
            <v>8</v>
          </cell>
          <cell r="B36" t="str">
            <v>B</v>
          </cell>
          <cell r="C36">
            <v>62894</v>
          </cell>
          <cell r="D36">
            <v>120</v>
          </cell>
          <cell r="E36">
            <v>118</v>
          </cell>
          <cell r="F36">
            <v>98.333333333333329</v>
          </cell>
          <cell r="G36">
            <v>18</v>
          </cell>
          <cell r="H36">
            <v>15</v>
          </cell>
          <cell r="I36">
            <v>45</v>
          </cell>
          <cell r="J36">
            <v>75</v>
          </cell>
          <cell r="K36" t="str">
            <v>B+</v>
          </cell>
          <cell r="L36">
            <v>37</v>
          </cell>
          <cell r="M36">
            <v>25</v>
          </cell>
          <cell r="N36">
            <v>67</v>
          </cell>
          <cell r="O36">
            <v>67</v>
          </cell>
          <cell r="P36" t="str">
            <v>B</v>
          </cell>
          <cell r="Q36">
            <v>25.321428571428601</v>
          </cell>
          <cell r="R36">
            <v>10.9285714285714</v>
          </cell>
          <cell r="S36">
            <v>44</v>
          </cell>
          <cell r="T36">
            <v>100.6535947712421</v>
          </cell>
          <cell r="U36" t="str">
            <v>A+</v>
          </cell>
          <cell r="V36">
            <v>33</v>
          </cell>
          <cell r="W36">
            <v>27</v>
          </cell>
          <cell r="X36">
            <v>88</v>
          </cell>
          <cell r="Y36">
            <v>81.481481481481481</v>
          </cell>
          <cell r="Z36" t="str">
            <v>A</v>
          </cell>
          <cell r="AA36">
            <v>29</v>
          </cell>
          <cell r="AB36">
            <v>23</v>
          </cell>
          <cell r="AC36">
            <v>60</v>
          </cell>
          <cell r="AD36">
            <v>65.217391304347828</v>
          </cell>
          <cell r="AE36" t="str">
            <v>B</v>
          </cell>
        </row>
        <row r="37">
          <cell r="A37">
            <v>9</v>
          </cell>
          <cell r="B37" t="str">
            <v>C</v>
          </cell>
          <cell r="C37">
            <v>62895</v>
          </cell>
          <cell r="D37">
            <v>120</v>
          </cell>
          <cell r="E37">
            <v>118</v>
          </cell>
          <cell r="F37">
            <v>98.333333333333329</v>
          </cell>
          <cell r="G37">
            <v>18</v>
          </cell>
          <cell r="H37">
            <v>15</v>
          </cell>
          <cell r="I37">
            <v>45</v>
          </cell>
          <cell r="J37">
            <v>75</v>
          </cell>
          <cell r="K37" t="str">
            <v>B+</v>
          </cell>
          <cell r="L37">
            <v>37</v>
          </cell>
          <cell r="M37">
            <v>25</v>
          </cell>
          <cell r="N37">
            <v>67</v>
          </cell>
          <cell r="O37">
            <v>67</v>
          </cell>
          <cell r="P37" t="str">
            <v>B</v>
          </cell>
          <cell r="Q37">
            <v>25.214285714285701</v>
          </cell>
          <cell r="R37">
            <v>10.285714285714301</v>
          </cell>
          <cell r="S37">
            <v>44</v>
          </cell>
          <cell r="T37">
            <v>106.94444444444429</v>
          </cell>
          <cell r="U37" t="str">
            <v>A+</v>
          </cell>
          <cell r="V37">
            <v>33</v>
          </cell>
          <cell r="W37">
            <v>27</v>
          </cell>
          <cell r="X37">
            <v>88</v>
          </cell>
          <cell r="Y37">
            <v>81.481481481481481</v>
          </cell>
          <cell r="Z37" t="str">
            <v>A</v>
          </cell>
          <cell r="AA37">
            <v>29</v>
          </cell>
          <cell r="AB37">
            <v>23</v>
          </cell>
          <cell r="AC37">
            <v>60</v>
          </cell>
          <cell r="AD37">
            <v>65.217391304347828</v>
          </cell>
          <cell r="AE37" t="str">
            <v>B</v>
          </cell>
        </row>
        <row r="38">
          <cell r="A38">
            <v>10</v>
          </cell>
          <cell r="B38" t="str">
            <v>D</v>
          </cell>
          <cell r="C38">
            <v>62896</v>
          </cell>
          <cell r="D38">
            <v>120</v>
          </cell>
          <cell r="E38">
            <v>118</v>
          </cell>
          <cell r="F38">
            <v>98.333333333333329</v>
          </cell>
          <cell r="G38">
            <v>18</v>
          </cell>
          <cell r="H38">
            <v>15</v>
          </cell>
          <cell r="I38">
            <v>45</v>
          </cell>
          <cell r="J38">
            <v>75</v>
          </cell>
          <cell r="K38" t="str">
            <v>B+</v>
          </cell>
          <cell r="L38">
            <v>37</v>
          </cell>
          <cell r="M38">
            <v>25</v>
          </cell>
          <cell r="N38">
            <v>67</v>
          </cell>
          <cell r="O38">
            <v>67</v>
          </cell>
          <cell r="P38" t="str">
            <v>B</v>
          </cell>
          <cell r="Q38">
            <v>25.1071428571429</v>
          </cell>
          <cell r="R38">
            <v>9.6428571428571406</v>
          </cell>
          <cell r="S38">
            <v>44</v>
          </cell>
          <cell r="T38">
            <v>114.0740740740741</v>
          </cell>
          <cell r="U38" t="str">
            <v>A+</v>
          </cell>
          <cell r="V38">
            <v>33</v>
          </cell>
          <cell r="W38">
            <v>27</v>
          </cell>
          <cell r="X38">
            <v>88</v>
          </cell>
          <cell r="Y38">
            <v>81.481481481481481</v>
          </cell>
          <cell r="Z38" t="str">
            <v>A</v>
          </cell>
          <cell r="AA38">
            <v>29</v>
          </cell>
          <cell r="AB38">
            <v>23</v>
          </cell>
          <cell r="AC38">
            <v>60</v>
          </cell>
          <cell r="AD38">
            <v>65.217391304347828</v>
          </cell>
          <cell r="AE38" t="str">
            <v>B</v>
          </cell>
        </row>
      </sheetData>
      <sheetData sheetId="2"/>
      <sheetData sheetId="3">
        <row r="9">
          <cell r="A9">
            <v>1</v>
          </cell>
          <cell r="B9" t="str">
            <v>F</v>
          </cell>
          <cell r="C9">
            <v>63161</v>
          </cell>
          <cell r="D9">
            <v>120</v>
          </cell>
          <cell r="E9">
            <v>100</v>
          </cell>
          <cell r="F9">
            <v>83.333333333333343</v>
          </cell>
          <cell r="G9">
            <v>22</v>
          </cell>
          <cell r="H9">
            <v>15</v>
          </cell>
          <cell r="I9">
            <v>60</v>
          </cell>
          <cell r="J9">
            <v>100</v>
          </cell>
          <cell r="K9" t="str">
            <v>A+</v>
          </cell>
          <cell r="L9">
            <v>37</v>
          </cell>
          <cell r="M9">
            <v>25</v>
          </cell>
          <cell r="N9">
            <v>45</v>
          </cell>
          <cell r="O9">
            <v>45</v>
          </cell>
          <cell r="P9" t="str">
            <v>C</v>
          </cell>
          <cell r="Q9">
            <v>8</v>
          </cell>
          <cell r="R9">
            <v>20</v>
          </cell>
          <cell r="S9">
            <v>70</v>
          </cell>
          <cell r="T9">
            <v>87.5</v>
          </cell>
          <cell r="U9" t="str">
            <v>A</v>
          </cell>
          <cell r="V9">
            <v>30</v>
          </cell>
          <cell r="W9">
            <v>15</v>
          </cell>
          <cell r="X9">
            <v>20</v>
          </cell>
          <cell r="Y9">
            <v>33.333333333333329</v>
          </cell>
          <cell r="Z9" t="str">
            <v>NG</v>
          </cell>
          <cell r="AA9">
            <v>30</v>
          </cell>
          <cell r="AB9">
            <v>15</v>
          </cell>
          <cell r="AC9">
            <v>50</v>
          </cell>
          <cell r="AD9">
            <v>83.333333333333343</v>
          </cell>
          <cell r="AE9" t="str">
            <v>A</v>
          </cell>
        </row>
        <row r="10">
          <cell r="A10">
            <v>2</v>
          </cell>
          <cell r="B10" t="str">
            <v>G</v>
          </cell>
          <cell r="C10">
            <v>63162</v>
          </cell>
          <cell r="D10">
            <v>120</v>
          </cell>
          <cell r="E10">
            <v>100</v>
          </cell>
          <cell r="F10">
            <v>83.333333333333343</v>
          </cell>
          <cell r="G10">
            <v>22</v>
          </cell>
          <cell r="H10">
            <v>15</v>
          </cell>
          <cell r="I10">
            <v>60</v>
          </cell>
          <cell r="J10">
            <v>100</v>
          </cell>
          <cell r="K10" t="str">
            <v>A+</v>
          </cell>
          <cell r="L10">
            <v>37</v>
          </cell>
          <cell r="M10">
            <v>25</v>
          </cell>
          <cell r="N10">
            <v>45</v>
          </cell>
          <cell r="O10">
            <v>45</v>
          </cell>
          <cell r="P10" t="str">
            <v>C</v>
          </cell>
          <cell r="Q10">
            <v>8</v>
          </cell>
          <cell r="R10">
            <v>20</v>
          </cell>
          <cell r="S10">
            <v>75</v>
          </cell>
          <cell r="T10">
            <v>93.75</v>
          </cell>
          <cell r="U10" t="str">
            <v>A+</v>
          </cell>
          <cell r="V10">
            <v>30</v>
          </cell>
          <cell r="W10">
            <v>15</v>
          </cell>
          <cell r="X10">
            <v>20</v>
          </cell>
          <cell r="Y10">
            <v>33.333333333333329</v>
          </cell>
          <cell r="Z10" t="str">
            <v>NG</v>
          </cell>
          <cell r="AA10">
            <v>30</v>
          </cell>
          <cell r="AB10">
            <v>15</v>
          </cell>
          <cell r="AC10">
            <v>50</v>
          </cell>
          <cell r="AD10">
            <v>83.333333333333343</v>
          </cell>
          <cell r="AE10" t="str">
            <v>A</v>
          </cell>
        </row>
        <row r="11">
          <cell r="A11">
            <v>3</v>
          </cell>
          <cell r="B11" t="str">
            <v>H</v>
          </cell>
          <cell r="C11">
            <v>63163</v>
          </cell>
          <cell r="D11">
            <v>120</v>
          </cell>
          <cell r="E11">
            <v>100</v>
          </cell>
          <cell r="F11">
            <v>83.333333333333343</v>
          </cell>
          <cell r="G11">
            <v>22</v>
          </cell>
          <cell r="H11">
            <v>15</v>
          </cell>
          <cell r="I11">
            <v>60</v>
          </cell>
          <cell r="J11">
            <v>100</v>
          </cell>
          <cell r="K11" t="str">
            <v>A+</v>
          </cell>
          <cell r="L11">
            <v>37</v>
          </cell>
          <cell r="M11">
            <v>25</v>
          </cell>
          <cell r="N11">
            <v>45</v>
          </cell>
          <cell r="O11">
            <v>45</v>
          </cell>
          <cell r="P11" t="str">
            <v>C</v>
          </cell>
          <cell r="Q11">
            <v>8</v>
          </cell>
          <cell r="R11">
            <v>20</v>
          </cell>
          <cell r="S11">
            <v>75</v>
          </cell>
          <cell r="T11">
            <v>93.75</v>
          </cell>
          <cell r="U11" t="str">
            <v>A+</v>
          </cell>
          <cell r="V11">
            <v>30</v>
          </cell>
          <cell r="W11">
            <v>15</v>
          </cell>
          <cell r="X11">
            <v>20</v>
          </cell>
          <cell r="Y11">
            <v>33.333333333333329</v>
          </cell>
          <cell r="Z11" t="str">
            <v>NG</v>
          </cell>
          <cell r="AA11">
            <v>30</v>
          </cell>
          <cell r="AB11">
            <v>15</v>
          </cell>
          <cell r="AC11">
            <v>50</v>
          </cell>
          <cell r="AD11">
            <v>83.333333333333343</v>
          </cell>
          <cell r="AE11" t="str">
            <v>A</v>
          </cell>
        </row>
        <row r="12">
          <cell r="A12">
            <v>4</v>
          </cell>
          <cell r="B12" t="str">
            <v>I</v>
          </cell>
          <cell r="C12">
            <v>63164</v>
          </cell>
          <cell r="D12">
            <v>120</v>
          </cell>
          <cell r="E12">
            <v>100</v>
          </cell>
          <cell r="F12">
            <v>83.333333333333343</v>
          </cell>
          <cell r="G12">
            <v>22</v>
          </cell>
          <cell r="H12">
            <v>15</v>
          </cell>
          <cell r="I12">
            <v>60</v>
          </cell>
          <cell r="J12">
            <v>100</v>
          </cell>
          <cell r="K12" t="str">
            <v>A+</v>
          </cell>
          <cell r="L12">
            <v>37</v>
          </cell>
          <cell r="M12">
            <v>25</v>
          </cell>
          <cell r="N12">
            <v>45</v>
          </cell>
          <cell r="O12">
            <v>45</v>
          </cell>
          <cell r="P12" t="str">
            <v>C</v>
          </cell>
          <cell r="Q12">
            <v>8</v>
          </cell>
          <cell r="R12">
            <v>20</v>
          </cell>
          <cell r="S12">
            <v>55</v>
          </cell>
          <cell r="T12">
            <v>68.75</v>
          </cell>
          <cell r="U12" t="str">
            <v>B</v>
          </cell>
          <cell r="V12">
            <v>30</v>
          </cell>
          <cell r="W12">
            <v>15</v>
          </cell>
          <cell r="X12">
            <v>20</v>
          </cell>
          <cell r="Y12">
            <v>33.333333333333329</v>
          </cell>
          <cell r="Z12" t="str">
            <v>NG</v>
          </cell>
          <cell r="AA12">
            <v>30</v>
          </cell>
          <cell r="AB12">
            <v>15</v>
          </cell>
          <cell r="AC12">
            <v>50</v>
          </cell>
          <cell r="AD12">
            <v>83.333333333333343</v>
          </cell>
          <cell r="AE12" t="str">
            <v>A</v>
          </cell>
        </row>
        <row r="13">
          <cell r="A13">
            <v>5</v>
          </cell>
          <cell r="B13" t="str">
            <v>J</v>
          </cell>
          <cell r="C13">
            <v>63165</v>
          </cell>
          <cell r="D13">
            <v>120</v>
          </cell>
          <cell r="E13">
            <v>100</v>
          </cell>
          <cell r="F13">
            <v>83.333333333333343</v>
          </cell>
          <cell r="G13">
            <v>22</v>
          </cell>
          <cell r="H13">
            <v>15</v>
          </cell>
          <cell r="I13">
            <v>60</v>
          </cell>
          <cell r="J13">
            <v>100</v>
          </cell>
          <cell r="K13" t="str">
            <v>A+</v>
          </cell>
          <cell r="L13">
            <v>37</v>
          </cell>
          <cell r="M13">
            <v>25</v>
          </cell>
          <cell r="N13">
            <v>45</v>
          </cell>
          <cell r="O13">
            <v>45</v>
          </cell>
          <cell r="P13" t="str">
            <v>C</v>
          </cell>
          <cell r="Q13">
            <v>8</v>
          </cell>
          <cell r="R13">
            <v>20</v>
          </cell>
          <cell r="S13">
            <v>75</v>
          </cell>
          <cell r="T13">
            <v>93.75</v>
          </cell>
          <cell r="U13" t="str">
            <v>A+</v>
          </cell>
          <cell r="V13">
            <v>30</v>
          </cell>
          <cell r="W13">
            <v>15</v>
          </cell>
          <cell r="X13">
            <v>20</v>
          </cell>
          <cell r="Y13">
            <v>33.333333333333329</v>
          </cell>
          <cell r="Z13" t="str">
            <v>NG</v>
          </cell>
          <cell r="AA13">
            <v>30</v>
          </cell>
          <cell r="AB13">
            <v>15</v>
          </cell>
          <cell r="AC13">
            <v>50</v>
          </cell>
          <cell r="AD13">
            <v>83.333333333333343</v>
          </cell>
          <cell r="AE13" t="str">
            <v>A</v>
          </cell>
        </row>
        <row r="14">
          <cell r="A14">
            <v>6</v>
          </cell>
          <cell r="B14" t="str">
            <v>K</v>
          </cell>
          <cell r="C14">
            <v>63166</v>
          </cell>
          <cell r="D14">
            <v>120</v>
          </cell>
          <cell r="E14">
            <v>100</v>
          </cell>
          <cell r="F14">
            <v>83.333333333333343</v>
          </cell>
          <cell r="G14">
            <v>22</v>
          </cell>
          <cell r="H14">
            <v>15</v>
          </cell>
          <cell r="I14">
            <v>60</v>
          </cell>
          <cell r="J14">
            <v>100</v>
          </cell>
          <cell r="K14" t="str">
            <v>A+</v>
          </cell>
          <cell r="L14">
            <v>37</v>
          </cell>
          <cell r="M14">
            <v>25</v>
          </cell>
          <cell r="N14">
            <v>45</v>
          </cell>
          <cell r="O14">
            <v>45</v>
          </cell>
          <cell r="P14" t="str">
            <v>C</v>
          </cell>
          <cell r="Q14">
            <v>8</v>
          </cell>
          <cell r="R14">
            <v>20</v>
          </cell>
          <cell r="S14">
            <v>75</v>
          </cell>
          <cell r="T14">
            <v>93.75</v>
          </cell>
          <cell r="U14" t="str">
            <v>A+</v>
          </cell>
          <cell r="V14">
            <v>30</v>
          </cell>
          <cell r="W14">
            <v>15</v>
          </cell>
          <cell r="X14">
            <v>20</v>
          </cell>
          <cell r="Y14">
            <v>33.333333333333329</v>
          </cell>
          <cell r="Z14" t="str">
            <v>NG</v>
          </cell>
          <cell r="AA14">
            <v>30</v>
          </cell>
          <cell r="AB14">
            <v>15</v>
          </cell>
          <cell r="AC14">
            <v>50</v>
          </cell>
          <cell r="AD14">
            <v>83.333333333333343</v>
          </cell>
          <cell r="AE14" t="str">
            <v>A</v>
          </cell>
        </row>
        <row r="15">
          <cell r="A15">
            <v>7</v>
          </cell>
          <cell r="B15"/>
          <cell r="C15"/>
          <cell r="D15"/>
          <cell r="E15"/>
          <cell r="F15" t="e">
            <v>#DIV/0!</v>
          </cell>
          <cell r="G15"/>
          <cell r="H15"/>
          <cell r="I15"/>
          <cell r="J15"/>
          <cell r="K15" t="str">
            <v>NG</v>
          </cell>
          <cell r="L15"/>
          <cell r="M15"/>
          <cell r="N15"/>
          <cell r="O15"/>
          <cell r="P15" t="str">
            <v>NG</v>
          </cell>
          <cell r="Q15"/>
          <cell r="R15"/>
          <cell r="S15"/>
          <cell r="T15" t="e">
            <v>#DIV/0!</v>
          </cell>
          <cell r="U15" t="e">
            <v>#DIV/0!</v>
          </cell>
          <cell r="V15">
            <v>30</v>
          </cell>
          <cell r="W15">
            <v>15</v>
          </cell>
          <cell r="X15">
            <v>20</v>
          </cell>
          <cell r="Y15">
            <v>33.333333333333329</v>
          </cell>
          <cell r="Z15" t="str">
            <v>NG</v>
          </cell>
          <cell r="AA15">
            <v>45</v>
          </cell>
          <cell r="AB15"/>
          <cell r="AC15"/>
          <cell r="AD15" t="e">
            <v>#DIV/0!</v>
          </cell>
          <cell r="AE15" t="e">
            <v>#DIV/0!</v>
          </cell>
        </row>
        <row r="16">
          <cell r="A16">
            <v>8</v>
          </cell>
          <cell r="B16"/>
          <cell r="C16"/>
          <cell r="D16"/>
          <cell r="E16"/>
          <cell r="F16" t="e">
            <v>#DIV/0!</v>
          </cell>
          <cell r="G16"/>
          <cell r="H16"/>
          <cell r="I16"/>
          <cell r="J16"/>
          <cell r="K16" t="str">
            <v>NG</v>
          </cell>
          <cell r="L16"/>
          <cell r="M16"/>
          <cell r="N16"/>
          <cell r="O16"/>
          <cell r="P16" t="str">
            <v>NG</v>
          </cell>
          <cell r="Q16"/>
          <cell r="R16"/>
          <cell r="S16"/>
          <cell r="T16" t="e">
            <v>#DIV/0!</v>
          </cell>
          <cell r="U16" t="e">
            <v>#DIV/0!</v>
          </cell>
          <cell r="V16"/>
          <cell r="W16"/>
          <cell r="X16"/>
          <cell r="Y16" t="e">
            <v>#DIV/0!</v>
          </cell>
          <cell r="Z16" t="e">
            <v>#DIV/0!</v>
          </cell>
          <cell r="AA16"/>
          <cell r="AB16"/>
          <cell r="AC16"/>
          <cell r="AD16" t="e">
            <v>#DIV/0!</v>
          </cell>
          <cell r="AE16" t="e">
            <v>#DIV/0!</v>
          </cell>
        </row>
        <row r="17">
          <cell r="A17">
            <v>9</v>
          </cell>
          <cell r="B17"/>
          <cell r="C17"/>
          <cell r="D17"/>
          <cell r="E17"/>
          <cell r="F17" t="e">
            <v>#DIV/0!</v>
          </cell>
          <cell r="G17"/>
          <cell r="H17"/>
          <cell r="I17"/>
          <cell r="J17"/>
          <cell r="K17" t="str">
            <v>NG</v>
          </cell>
          <cell r="L17"/>
          <cell r="M17"/>
          <cell r="N17"/>
          <cell r="O17"/>
          <cell r="P17" t="str">
            <v>NG</v>
          </cell>
          <cell r="Q17"/>
          <cell r="R17"/>
          <cell r="S17"/>
          <cell r="T17"/>
          <cell r="U17" t="str">
            <v>NG</v>
          </cell>
          <cell r="V17"/>
          <cell r="W17"/>
          <cell r="X17"/>
          <cell r="Y17" t="e">
            <v>#DIV/0!</v>
          </cell>
          <cell r="Z17" t="e">
            <v>#DIV/0!</v>
          </cell>
          <cell r="AA17"/>
          <cell r="AB17"/>
          <cell r="AC17"/>
          <cell r="AD17" t="e">
            <v>#DIV/0!</v>
          </cell>
          <cell r="AE17" t="e">
            <v>#DIV/0!</v>
          </cell>
        </row>
        <row r="18">
          <cell r="A18">
            <v>10</v>
          </cell>
          <cell r="B18"/>
          <cell r="C18"/>
          <cell r="D18"/>
          <cell r="E18"/>
          <cell r="F18" t="e">
            <v>#DIV/0!</v>
          </cell>
          <cell r="G18"/>
          <cell r="H18"/>
          <cell r="I18"/>
          <cell r="J18"/>
          <cell r="K18" t="str">
            <v>NG</v>
          </cell>
          <cell r="L18"/>
          <cell r="M18"/>
          <cell r="N18"/>
          <cell r="O18"/>
          <cell r="P18" t="str">
            <v>NG</v>
          </cell>
          <cell r="Q18"/>
          <cell r="R18"/>
          <cell r="S18"/>
          <cell r="T18"/>
          <cell r="U18" t="str">
            <v>NG</v>
          </cell>
          <cell r="V18"/>
          <cell r="W18"/>
          <cell r="X18"/>
          <cell r="Y18" t="e">
            <v>#DIV/0!</v>
          </cell>
          <cell r="Z18" t="e">
            <v>#DIV/0!</v>
          </cell>
          <cell r="AA18"/>
          <cell r="AB18"/>
          <cell r="AC18"/>
          <cell r="AD18" t="e">
            <v>#DIV/0!</v>
          </cell>
          <cell r="AE18" t="e">
            <v>#DIV/0!</v>
          </cell>
        </row>
        <row r="19">
          <cell r="A19">
            <v>11</v>
          </cell>
          <cell r="B19"/>
          <cell r="C19"/>
          <cell r="D19"/>
          <cell r="E19"/>
          <cell r="F19" t="e">
            <v>#DIV/0!</v>
          </cell>
          <cell r="G19"/>
          <cell r="H19"/>
          <cell r="I19"/>
          <cell r="J19"/>
          <cell r="K19" t="str">
            <v>NG</v>
          </cell>
          <cell r="L19"/>
          <cell r="M19"/>
          <cell r="N19"/>
          <cell r="O19"/>
          <cell r="P19" t="str">
            <v>NG</v>
          </cell>
          <cell r="Q19"/>
          <cell r="R19"/>
          <cell r="S19"/>
          <cell r="T19"/>
          <cell r="U19" t="str">
            <v>NG</v>
          </cell>
          <cell r="V19"/>
          <cell r="W19"/>
          <cell r="X19"/>
          <cell r="Y19" t="e">
            <v>#DIV/0!</v>
          </cell>
          <cell r="Z19" t="e">
            <v>#DIV/0!</v>
          </cell>
          <cell r="AA19"/>
          <cell r="AB19"/>
          <cell r="AC19"/>
          <cell r="AD19" t="e">
            <v>#DIV/0!</v>
          </cell>
          <cell r="AE19" t="e">
            <v>#DIV/0!</v>
          </cell>
        </row>
        <row r="20">
          <cell r="A20">
            <v>12</v>
          </cell>
          <cell r="B20"/>
          <cell r="C20"/>
          <cell r="D20"/>
          <cell r="E20"/>
          <cell r="F20" t="e">
            <v>#DIV/0!</v>
          </cell>
          <cell r="G20"/>
          <cell r="H20"/>
          <cell r="I20"/>
          <cell r="J20"/>
          <cell r="K20" t="str">
            <v>NG</v>
          </cell>
          <cell r="L20"/>
          <cell r="M20"/>
          <cell r="N20"/>
          <cell r="O20"/>
          <cell r="P20" t="str">
            <v>NG</v>
          </cell>
          <cell r="Q20"/>
          <cell r="R20"/>
          <cell r="S20"/>
          <cell r="T20"/>
          <cell r="U20" t="str">
            <v>NG</v>
          </cell>
          <cell r="V20"/>
          <cell r="W20"/>
          <cell r="X20"/>
          <cell r="Y20" t="e">
            <v>#DIV/0!</v>
          </cell>
          <cell r="Z20" t="e">
            <v>#DIV/0!</v>
          </cell>
          <cell r="AA20"/>
          <cell r="AB20"/>
          <cell r="AC20"/>
          <cell r="AD20" t="e">
            <v>#DIV/0!</v>
          </cell>
          <cell r="AE20" t="e">
            <v>#DIV/0!</v>
          </cell>
        </row>
        <row r="21">
          <cell r="A21">
            <v>13</v>
          </cell>
          <cell r="B21"/>
          <cell r="C21"/>
          <cell r="D21"/>
          <cell r="E21"/>
          <cell r="F21" t="e">
            <v>#DIV/0!</v>
          </cell>
          <cell r="G21"/>
          <cell r="H21"/>
          <cell r="I21"/>
          <cell r="J21"/>
          <cell r="K21" t="str">
            <v>NG</v>
          </cell>
          <cell r="L21"/>
          <cell r="M21"/>
          <cell r="N21"/>
          <cell r="O21"/>
          <cell r="P21" t="str">
            <v>NG</v>
          </cell>
          <cell r="Q21"/>
          <cell r="R21"/>
          <cell r="S21"/>
          <cell r="T21"/>
          <cell r="U21" t="str">
            <v>NG</v>
          </cell>
          <cell r="V21"/>
          <cell r="W21"/>
          <cell r="X21"/>
          <cell r="Y21" t="e">
            <v>#DIV/0!</v>
          </cell>
          <cell r="Z21" t="e">
            <v>#DIV/0!</v>
          </cell>
          <cell r="AA21"/>
          <cell r="AB21"/>
          <cell r="AC21"/>
          <cell r="AD21" t="e">
            <v>#DIV/0!</v>
          </cell>
          <cell r="AE21" t="e">
            <v>#DIV/0!</v>
          </cell>
        </row>
        <row r="22">
          <cell r="A22">
            <v>14</v>
          </cell>
          <cell r="B22"/>
          <cell r="C22"/>
          <cell r="D22"/>
          <cell r="E22"/>
          <cell r="F22" t="e">
            <v>#DIV/0!</v>
          </cell>
          <cell r="G22"/>
          <cell r="H22"/>
          <cell r="I22"/>
          <cell r="J22"/>
          <cell r="K22" t="str">
            <v>NG</v>
          </cell>
          <cell r="L22"/>
          <cell r="M22"/>
          <cell r="N22"/>
          <cell r="O22"/>
          <cell r="P22" t="str">
            <v>NG</v>
          </cell>
          <cell r="Q22"/>
          <cell r="R22"/>
          <cell r="S22"/>
          <cell r="T22"/>
          <cell r="U22" t="str">
            <v>NG</v>
          </cell>
          <cell r="V22"/>
          <cell r="W22"/>
          <cell r="X22"/>
          <cell r="Y22" t="e">
            <v>#DIV/0!</v>
          </cell>
          <cell r="Z22" t="e">
            <v>#DIV/0!</v>
          </cell>
          <cell r="AA22"/>
          <cell r="AB22"/>
          <cell r="AC22"/>
          <cell r="AD22" t="e">
            <v>#DIV/0!</v>
          </cell>
          <cell r="AE22" t="e">
            <v>#DIV/0!</v>
          </cell>
        </row>
        <row r="23">
          <cell r="A23">
            <v>15</v>
          </cell>
          <cell r="B23"/>
          <cell r="C23"/>
          <cell r="D23"/>
          <cell r="E23"/>
          <cell r="F23" t="e">
            <v>#DIV/0!</v>
          </cell>
          <cell r="G23"/>
          <cell r="H23"/>
          <cell r="I23"/>
          <cell r="J23"/>
          <cell r="K23" t="str">
            <v>NG</v>
          </cell>
          <cell r="L23"/>
          <cell r="M23"/>
          <cell r="N23"/>
          <cell r="O23"/>
          <cell r="P23" t="str">
            <v>NG</v>
          </cell>
          <cell r="Q23"/>
          <cell r="R23"/>
          <cell r="S23"/>
          <cell r="T23"/>
          <cell r="U23" t="str">
            <v>NG</v>
          </cell>
          <cell r="V23"/>
          <cell r="W23"/>
          <cell r="X23"/>
          <cell r="Y23" t="e">
            <v>#DIV/0!</v>
          </cell>
          <cell r="Z23" t="e">
            <v>#DIV/0!</v>
          </cell>
          <cell r="AA23"/>
          <cell r="AB23"/>
          <cell r="AC23"/>
          <cell r="AD23" t="e">
            <v>#DIV/0!</v>
          </cell>
          <cell r="AE23" t="e">
            <v>#DIV/0!</v>
          </cell>
        </row>
        <row r="24">
          <cell r="A24">
            <v>16</v>
          </cell>
          <cell r="B24"/>
          <cell r="C24"/>
          <cell r="D24"/>
          <cell r="E24"/>
          <cell r="F24" t="e">
            <v>#DIV/0!</v>
          </cell>
          <cell r="G24"/>
          <cell r="H24"/>
          <cell r="I24"/>
          <cell r="J24"/>
          <cell r="K24" t="str">
            <v>NG</v>
          </cell>
          <cell r="L24"/>
          <cell r="M24"/>
          <cell r="N24"/>
          <cell r="O24"/>
          <cell r="P24" t="str">
            <v>NG</v>
          </cell>
          <cell r="Q24"/>
          <cell r="R24"/>
          <cell r="S24"/>
          <cell r="T24"/>
          <cell r="U24" t="str">
            <v>NG</v>
          </cell>
          <cell r="V24"/>
          <cell r="W24"/>
          <cell r="X24"/>
          <cell r="Y24" t="e">
            <v>#DIV/0!</v>
          </cell>
          <cell r="Z24" t="e">
            <v>#DIV/0!</v>
          </cell>
          <cell r="AA24"/>
          <cell r="AB24"/>
          <cell r="AC24"/>
          <cell r="AD24" t="e">
            <v>#DIV/0!</v>
          </cell>
          <cell r="AE24" t="e">
            <v>#DIV/0!</v>
          </cell>
        </row>
        <row r="25">
          <cell r="A25">
            <v>17</v>
          </cell>
          <cell r="B25"/>
          <cell r="C25"/>
          <cell r="D25"/>
          <cell r="E25"/>
          <cell r="F25" t="e">
            <v>#DIV/0!</v>
          </cell>
          <cell r="G25"/>
          <cell r="H25"/>
          <cell r="I25"/>
          <cell r="J25"/>
          <cell r="K25" t="str">
            <v>NG</v>
          </cell>
          <cell r="L25"/>
          <cell r="M25"/>
          <cell r="N25"/>
          <cell r="O25"/>
          <cell r="P25" t="str">
            <v>NG</v>
          </cell>
          <cell r="Q25"/>
          <cell r="R25"/>
          <cell r="S25"/>
          <cell r="T25"/>
          <cell r="U25" t="str">
            <v>NG</v>
          </cell>
          <cell r="V25"/>
          <cell r="W25"/>
          <cell r="X25"/>
          <cell r="Y25" t="e">
            <v>#DIV/0!</v>
          </cell>
          <cell r="Z25" t="e">
            <v>#DIV/0!</v>
          </cell>
          <cell r="AA25"/>
          <cell r="AB25"/>
          <cell r="AC25"/>
          <cell r="AD25" t="e">
            <v>#DIV/0!</v>
          </cell>
          <cell r="AE25" t="e">
            <v>#DIV/0!</v>
          </cell>
        </row>
        <row r="26">
          <cell r="A26">
            <v>18</v>
          </cell>
          <cell r="B26"/>
          <cell r="C26"/>
          <cell r="D26"/>
          <cell r="E26"/>
          <cell r="F26" t="e">
            <v>#DIV/0!</v>
          </cell>
          <cell r="G26"/>
          <cell r="H26"/>
          <cell r="I26"/>
          <cell r="J26"/>
          <cell r="K26" t="str">
            <v>NG</v>
          </cell>
          <cell r="L26"/>
          <cell r="M26"/>
          <cell r="N26"/>
          <cell r="O26"/>
          <cell r="P26" t="str">
            <v>NG</v>
          </cell>
          <cell r="Q26"/>
          <cell r="R26"/>
          <cell r="S26"/>
          <cell r="T26"/>
          <cell r="U26" t="str">
            <v>NG</v>
          </cell>
          <cell r="V26"/>
          <cell r="W26"/>
          <cell r="X26"/>
          <cell r="Y26" t="e">
            <v>#DIV/0!</v>
          </cell>
          <cell r="Z26" t="e">
            <v>#DIV/0!</v>
          </cell>
          <cell r="AA26"/>
          <cell r="AB26"/>
          <cell r="AC26"/>
          <cell r="AD26" t="e">
            <v>#DIV/0!</v>
          </cell>
          <cell r="AE26" t="e">
            <v>#DIV/0!</v>
          </cell>
        </row>
        <row r="27">
          <cell r="A27">
            <v>19</v>
          </cell>
          <cell r="B27"/>
          <cell r="C27"/>
          <cell r="D27"/>
          <cell r="E27"/>
          <cell r="F27" t="e">
            <v>#DIV/0!</v>
          </cell>
          <cell r="G27"/>
          <cell r="H27"/>
          <cell r="I27"/>
          <cell r="J27"/>
          <cell r="K27" t="str">
            <v>NG</v>
          </cell>
          <cell r="L27"/>
          <cell r="M27"/>
          <cell r="N27"/>
          <cell r="O27"/>
          <cell r="P27" t="str">
            <v>NG</v>
          </cell>
          <cell r="Q27"/>
          <cell r="R27"/>
          <cell r="S27"/>
          <cell r="T27"/>
          <cell r="U27" t="str">
            <v>NG</v>
          </cell>
          <cell r="V27"/>
          <cell r="W27"/>
          <cell r="X27"/>
          <cell r="Y27" t="e">
            <v>#DIV/0!</v>
          </cell>
          <cell r="Z27" t="e">
            <v>#DIV/0!</v>
          </cell>
          <cell r="AA27"/>
          <cell r="AB27"/>
          <cell r="AC27"/>
          <cell r="AD27" t="e">
            <v>#DIV/0!</v>
          </cell>
          <cell r="AE27" t="e">
            <v>#DIV/0!</v>
          </cell>
        </row>
        <row r="28">
          <cell r="A28">
            <v>20</v>
          </cell>
          <cell r="B28"/>
          <cell r="C28"/>
          <cell r="D28"/>
          <cell r="E28"/>
          <cell r="F28" t="e">
            <v>#DIV/0!</v>
          </cell>
          <cell r="G28"/>
          <cell r="H28"/>
          <cell r="I28"/>
          <cell r="J28"/>
          <cell r="K28" t="str">
            <v>NG</v>
          </cell>
          <cell r="L28"/>
          <cell r="M28"/>
          <cell r="N28"/>
          <cell r="O28"/>
          <cell r="P28" t="str">
            <v>NG</v>
          </cell>
          <cell r="Q28"/>
          <cell r="R28"/>
          <cell r="S28"/>
          <cell r="T28"/>
          <cell r="U28" t="str">
            <v>NG</v>
          </cell>
          <cell r="V28"/>
          <cell r="W28"/>
          <cell r="X28"/>
          <cell r="Y28" t="e">
            <v>#DIV/0!</v>
          </cell>
          <cell r="Z28" t="e">
            <v>#DIV/0!</v>
          </cell>
          <cell r="AA28"/>
          <cell r="AB28"/>
          <cell r="AC28"/>
          <cell r="AD28" t="e">
            <v>#DIV/0!</v>
          </cell>
          <cell r="AE28" t="e">
            <v>#DIV/0!</v>
          </cell>
        </row>
        <row r="29">
          <cell r="A29">
            <v>21</v>
          </cell>
          <cell r="B29"/>
          <cell r="C29"/>
          <cell r="D29"/>
          <cell r="E29"/>
          <cell r="F29" t="e">
            <v>#DIV/0!</v>
          </cell>
          <cell r="G29"/>
          <cell r="H29"/>
          <cell r="I29"/>
          <cell r="J29"/>
          <cell r="K29" t="str">
            <v>NG</v>
          </cell>
          <cell r="L29"/>
          <cell r="M29"/>
          <cell r="N29"/>
          <cell r="O29"/>
          <cell r="P29" t="str">
            <v>NG</v>
          </cell>
          <cell r="Q29"/>
          <cell r="R29"/>
          <cell r="S29"/>
          <cell r="T29"/>
          <cell r="U29" t="str">
            <v>NG</v>
          </cell>
          <cell r="V29"/>
          <cell r="W29"/>
          <cell r="X29"/>
          <cell r="Y29" t="e">
            <v>#DIV/0!</v>
          </cell>
          <cell r="Z29" t="e">
            <v>#DIV/0!</v>
          </cell>
          <cell r="AA29"/>
          <cell r="AB29"/>
          <cell r="AC29"/>
          <cell r="AD29" t="e">
            <v>#DIV/0!</v>
          </cell>
          <cell r="AE29" t="e">
            <v>#DIV/0!</v>
          </cell>
        </row>
        <row r="30">
          <cell r="A30">
            <v>22</v>
          </cell>
          <cell r="B30"/>
          <cell r="C30"/>
          <cell r="D30"/>
          <cell r="E30"/>
          <cell r="F30" t="e">
            <v>#DIV/0!</v>
          </cell>
          <cell r="G30"/>
          <cell r="H30"/>
          <cell r="I30"/>
          <cell r="J30"/>
          <cell r="K30" t="str">
            <v>NG</v>
          </cell>
          <cell r="L30"/>
          <cell r="M30"/>
          <cell r="N30"/>
          <cell r="O30"/>
          <cell r="P30" t="str">
            <v>NG</v>
          </cell>
          <cell r="Q30"/>
          <cell r="R30"/>
          <cell r="S30"/>
          <cell r="T30"/>
          <cell r="U30" t="str">
            <v>NG</v>
          </cell>
          <cell r="V30"/>
          <cell r="W30"/>
          <cell r="X30"/>
          <cell r="Y30" t="e">
            <v>#DIV/0!</v>
          </cell>
          <cell r="Z30" t="e">
            <v>#DIV/0!</v>
          </cell>
          <cell r="AA30"/>
          <cell r="AB30"/>
          <cell r="AC30"/>
          <cell r="AD30" t="e">
            <v>#DIV/0!</v>
          </cell>
          <cell r="AE30" t="e">
            <v>#DIV/0!</v>
          </cell>
        </row>
        <row r="31">
          <cell r="A31">
            <v>23</v>
          </cell>
          <cell r="B31"/>
          <cell r="C31"/>
          <cell r="D31"/>
          <cell r="E31"/>
          <cell r="F31" t="e">
            <v>#DIV/0!</v>
          </cell>
          <cell r="G31"/>
          <cell r="H31"/>
          <cell r="I31"/>
          <cell r="J31"/>
          <cell r="K31" t="str">
            <v>NG</v>
          </cell>
          <cell r="L31"/>
          <cell r="M31"/>
          <cell r="N31"/>
          <cell r="O31"/>
          <cell r="P31" t="str">
            <v>NG</v>
          </cell>
          <cell r="Q31"/>
          <cell r="R31"/>
          <cell r="S31"/>
          <cell r="T31"/>
          <cell r="U31" t="str">
            <v>NG</v>
          </cell>
          <cell r="V31"/>
          <cell r="W31"/>
          <cell r="X31"/>
          <cell r="Y31" t="e">
            <v>#DIV/0!</v>
          </cell>
          <cell r="Z31" t="e">
            <v>#DIV/0!</v>
          </cell>
          <cell r="AA31"/>
          <cell r="AB31"/>
          <cell r="AC31"/>
          <cell r="AD31" t="e">
            <v>#DIV/0!</v>
          </cell>
          <cell r="AE31" t="e">
            <v>#DIV/0!</v>
          </cell>
        </row>
        <row r="32">
          <cell r="A32">
            <v>24</v>
          </cell>
          <cell r="B32"/>
          <cell r="C32"/>
          <cell r="D32"/>
          <cell r="E32"/>
          <cell r="F32" t="e">
            <v>#DIV/0!</v>
          </cell>
          <cell r="G32"/>
          <cell r="H32"/>
          <cell r="I32"/>
          <cell r="J32"/>
          <cell r="K32" t="str">
            <v>NG</v>
          </cell>
          <cell r="L32"/>
          <cell r="M32"/>
          <cell r="N32"/>
          <cell r="O32"/>
          <cell r="P32" t="str">
            <v>NG</v>
          </cell>
          <cell r="Q32"/>
          <cell r="R32"/>
          <cell r="S32"/>
          <cell r="T32"/>
          <cell r="U32" t="str">
            <v>NG</v>
          </cell>
          <cell r="V32"/>
          <cell r="W32"/>
          <cell r="X32"/>
          <cell r="Y32" t="e">
            <v>#DIV/0!</v>
          </cell>
          <cell r="Z32" t="e">
            <v>#DIV/0!</v>
          </cell>
          <cell r="AA32"/>
          <cell r="AB32"/>
          <cell r="AC32"/>
          <cell r="AD32" t="e">
            <v>#DIV/0!</v>
          </cell>
          <cell r="AE32" t="e">
            <v>#DIV/0!</v>
          </cell>
        </row>
        <row r="33">
          <cell r="A33">
            <v>25</v>
          </cell>
          <cell r="B33"/>
          <cell r="C33"/>
          <cell r="D33"/>
          <cell r="E33"/>
          <cell r="F33" t="e">
            <v>#DIV/0!</v>
          </cell>
          <cell r="G33"/>
          <cell r="H33"/>
          <cell r="I33"/>
          <cell r="J33"/>
          <cell r="K33" t="str">
            <v>NG</v>
          </cell>
          <cell r="L33"/>
          <cell r="M33"/>
          <cell r="N33"/>
          <cell r="O33"/>
          <cell r="P33" t="str">
            <v>NG</v>
          </cell>
          <cell r="Q33"/>
          <cell r="R33"/>
          <cell r="S33"/>
          <cell r="T33"/>
          <cell r="U33" t="str">
            <v>NG</v>
          </cell>
          <cell r="V33"/>
          <cell r="W33"/>
          <cell r="X33"/>
          <cell r="Y33" t="e">
            <v>#DIV/0!</v>
          </cell>
          <cell r="Z33" t="e">
            <v>#DIV/0!</v>
          </cell>
          <cell r="AA33"/>
          <cell r="AB33"/>
          <cell r="AC33"/>
          <cell r="AD33" t="e">
            <v>#DIV/0!</v>
          </cell>
          <cell r="AE33" t="e">
            <v>#DIV/0!</v>
          </cell>
        </row>
        <row r="34">
          <cell r="A34">
            <v>26</v>
          </cell>
          <cell r="B34"/>
          <cell r="C34"/>
          <cell r="D34"/>
          <cell r="E34"/>
          <cell r="F34" t="e">
            <v>#DIV/0!</v>
          </cell>
          <cell r="G34"/>
          <cell r="H34"/>
          <cell r="I34"/>
          <cell r="J34"/>
          <cell r="K34" t="str">
            <v>NG</v>
          </cell>
          <cell r="L34"/>
          <cell r="M34"/>
          <cell r="N34"/>
          <cell r="O34"/>
          <cell r="P34" t="str">
            <v>NG</v>
          </cell>
          <cell r="Q34"/>
          <cell r="R34"/>
          <cell r="S34"/>
          <cell r="T34"/>
          <cell r="U34" t="str">
            <v>NG</v>
          </cell>
          <cell r="V34"/>
          <cell r="W34"/>
          <cell r="X34"/>
          <cell r="Y34" t="e">
            <v>#DIV/0!</v>
          </cell>
          <cell r="Z34" t="e">
            <v>#DIV/0!</v>
          </cell>
          <cell r="AA34"/>
          <cell r="AB34"/>
          <cell r="AC34"/>
          <cell r="AD34" t="e">
            <v>#DIV/0!</v>
          </cell>
          <cell r="AE34" t="e">
            <v>#DIV/0!</v>
          </cell>
        </row>
        <row r="35">
          <cell r="A35">
            <v>27</v>
          </cell>
          <cell r="B35" t="str">
            <v>F</v>
          </cell>
          <cell r="C35">
            <v>63167</v>
          </cell>
          <cell r="D35">
            <v>120</v>
          </cell>
          <cell r="E35">
            <v>100</v>
          </cell>
          <cell r="F35">
            <v>83.333333333333343</v>
          </cell>
          <cell r="G35">
            <v>22</v>
          </cell>
          <cell r="H35">
            <v>15</v>
          </cell>
          <cell r="I35">
            <v>60</v>
          </cell>
          <cell r="J35">
            <v>100</v>
          </cell>
          <cell r="K35" t="str">
            <v>A+</v>
          </cell>
          <cell r="L35">
            <v>37</v>
          </cell>
          <cell r="M35">
            <v>25</v>
          </cell>
          <cell r="N35">
            <v>45</v>
          </cell>
          <cell r="O35">
            <v>45</v>
          </cell>
          <cell r="P35" t="str">
            <v>C</v>
          </cell>
          <cell r="Q35">
            <v>8</v>
          </cell>
          <cell r="R35">
            <v>20</v>
          </cell>
          <cell r="S35">
            <v>71.3333333333333</v>
          </cell>
          <cell r="T35">
            <v>89.166666666666629</v>
          </cell>
          <cell r="U35" t="str">
            <v>A</v>
          </cell>
          <cell r="V35">
            <v>30</v>
          </cell>
          <cell r="W35">
            <v>15</v>
          </cell>
          <cell r="X35">
            <v>20</v>
          </cell>
          <cell r="Y35">
            <v>33.333333333333329</v>
          </cell>
          <cell r="Z35" t="str">
            <v>NG</v>
          </cell>
          <cell r="AA35">
            <v>38.571428571428598</v>
          </cell>
          <cell r="AB35">
            <v>15</v>
          </cell>
          <cell r="AC35">
            <v>50</v>
          </cell>
          <cell r="AD35">
            <v>83.333333333333343</v>
          </cell>
          <cell r="AE35" t="str">
            <v>A</v>
          </cell>
        </row>
        <row r="36">
          <cell r="A36">
            <v>28</v>
          </cell>
          <cell r="B36" t="str">
            <v>G</v>
          </cell>
          <cell r="C36">
            <v>63168</v>
          </cell>
          <cell r="D36">
            <v>120</v>
          </cell>
          <cell r="E36">
            <v>100</v>
          </cell>
          <cell r="F36">
            <v>83.333333333333343</v>
          </cell>
          <cell r="G36">
            <v>22</v>
          </cell>
          <cell r="H36">
            <v>15</v>
          </cell>
          <cell r="I36">
            <v>60</v>
          </cell>
          <cell r="J36">
            <v>100</v>
          </cell>
          <cell r="K36" t="str">
            <v>A+</v>
          </cell>
          <cell r="L36">
            <v>37</v>
          </cell>
          <cell r="M36">
            <v>25</v>
          </cell>
          <cell r="N36">
            <v>45</v>
          </cell>
          <cell r="O36">
            <v>45</v>
          </cell>
          <cell r="P36" t="str">
            <v>C</v>
          </cell>
          <cell r="Q36">
            <v>8</v>
          </cell>
          <cell r="R36">
            <v>20</v>
          </cell>
          <cell r="S36">
            <v>71.476190476190496</v>
          </cell>
          <cell r="T36">
            <v>89.345238095238116</v>
          </cell>
          <cell r="U36" t="str">
            <v>A</v>
          </cell>
          <cell r="V36">
            <v>30</v>
          </cell>
          <cell r="W36">
            <v>15</v>
          </cell>
          <cell r="X36">
            <v>20</v>
          </cell>
          <cell r="Y36">
            <v>33.333333333333329</v>
          </cell>
          <cell r="Z36" t="str">
            <v>NG</v>
          </cell>
          <cell r="AA36">
            <v>40.178571428571502</v>
          </cell>
          <cell r="AB36">
            <v>15</v>
          </cell>
          <cell r="AC36">
            <v>50</v>
          </cell>
          <cell r="AD36">
            <v>83.333333333333343</v>
          </cell>
          <cell r="AE36" t="str">
            <v>A</v>
          </cell>
        </row>
        <row r="37">
          <cell r="A37">
            <v>29</v>
          </cell>
          <cell r="B37" t="str">
            <v>H</v>
          </cell>
          <cell r="C37">
            <v>63169</v>
          </cell>
          <cell r="D37">
            <v>120</v>
          </cell>
          <cell r="E37">
            <v>100</v>
          </cell>
          <cell r="F37">
            <v>83.333333333333343</v>
          </cell>
          <cell r="G37">
            <v>22</v>
          </cell>
          <cell r="H37">
            <v>15</v>
          </cell>
          <cell r="I37">
            <v>60</v>
          </cell>
          <cell r="J37">
            <v>100</v>
          </cell>
          <cell r="K37" t="str">
            <v>A+</v>
          </cell>
          <cell r="L37">
            <v>37</v>
          </cell>
          <cell r="M37">
            <v>25</v>
          </cell>
          <cell r="N37">
            <v>45</v>
          </cell>
          <cell r="O37">
            <v>45</v>
          </cell>
          <cell r="P37" t="str">
            <v>C</v>
          </cell>
          <cell r="Q37">
            <v>8</v>
          </cell>
          <cell r="R37">
            <v>20</v>
          </cell>
          <cell r="S37">
            <v>71.619047619047606</v>
          </cell>
          <cell r="T37">
            <v>89.523809523809504</v>
          </cell>
          <cell r="U37" t="str">
            <v>A</v>
          </cell>
          <cell r="V37">
            <v>30</v>
          </cell>
          <cell r="W37">
            <v>15</v>
          </cell>
          <cell r="X37">
            <v>20</v>
          </cell>
          <cell r="Y37">
            <v>33.333333333333329</v>
          </cell>
          <cell r="Z37" t="str">
            <v>NG</v>
          </cell>
          <cell r="AA37">
            <v>41.785714285714299</v>
          </cell>
          <cell r="AB37">
            <v>15</v>
          </cell>
          <cell r="AC37">
            <v>50</v>
          </cell>
          <cell r="AD37">
            <v>83.333333333333343</v>
          </cell>
          <cell r="AE37" t="str">
            <v>A</v>
          </cell>
        </row>
        <row r="38">
          <cell r="A38">
            <v>30</v>
          </cell>
          <cell r="B38" t="str">
            <v>I</v>
          </cell>
          <cell r="C38">
            <v>63170</v>
          </cell>
          <cell r="D38">
            <v>120</v>
          </cell>
          <cell r="E38">
            <v>100</v>
          </cell>
          <cell r="F38">
            <v>83.333333333333343</v>
          </cell>
          <cell r="G38">
            <v>22</v>
          </cell>
          <cell r="H38">
            <v>15</v>
          </cell>
          <cell r="I38">
            <v>60</v>
          </cell>
          <cell r="J38">
            <v>100</v>
          </cell>
          <cell r="K38" t="str">
            <v>A+</v>
          </cell>
          <cell r="L38">
            <v>37</v>
          </cell>
          <cell r="M38">
            <v>25</v>
          </cell>
          <cell r="N38">
            <v>45</v>
          </cell>
          <cell r="O38">
            <v>45</v>
          </cell>
          <cell r="P38" t="str">
            <v>C</v>
          </cell>
          <cell r="Q38">
            <v>8</v>
          </cell>
          <cell r="R38">
            <v>20</v>
          </cell>
          <cell r="S38">
            <v>71.761904761904802</v>
          </cell>
          <cell r="T38">
            <v>89.702380952381006</v>
          </cell>
          <cell r="U38" t="str">
            <v>A</v>
          </cell>
          <cell r="V38">
            <v>30</v>
          </cell>
          <cell r="W38">
            <v>15</v>
          </cell>
          <cell r="X38">
            <v>20</v>
          </cell>
          <cell r="Y38">
            <v>33.333333333333329</v>
          </cell>
          <cell r="Z38" t="str">
            <v>NG</v>
          </cell>
          <cell r="AA38">
            <v>43.392857142857203</v>
          </cell>
          <cell r="AB38">
            <v>15</v>
          </cell>
          <cell r="AC38">
            <v>50</v>
          </cell>
          <cell r="AD38">
            <v>83.333333333333343</v>
          </cell>
          <cell r="AE38" t="str">
            <v>A</v>
          </cell>
        </row>
        <row r="39">
          <cell r="A39">
            <v>31</v>
          </cell>
          <cell r="B39" t="str">
            <v>J</v>
          </cell>
          <cell r="C39">
            <v>63171</v>
          </cell>
          <cell r="D39">
            <v>120</v>
          </cell>
          <cell r="E39">
            <v>100</v>
          </cell>
          <cell r="F39">
            <v>83.333333333333343</v>
          </cell>
          <cell r="G39">
            <v>22</v>
          </cell>
          <cell r="H39">
            <v>15</v>
          </cell>
          <cell r="I39">
            <v>60</v>
          </cell>
          <cell r="J39">
            <v>100</v>
          </cell>
          <cell r="K39" t="str">
            <v>A+</v>
          </cell>
          <cell r="L39">
            <v>37</v>
          </cell>
          <cell r="M39">
            <v>25</v>
          </cell>
          <cell r="N39">
            <v>45</v>
          </cell>
          <cell r="O39">
            <v>45</v>
          </cell>
          <cell r="P39" t="str">
            <v>C</v>
          </cell>
          <cell r="Q39">
            <v>8</v>
          </cell>
          <cell r="R39">
            <v>20</v>
          </cell>
          <cell r="S39">
            <v>71.904761904761898</v>
          </cell>
          <cell r="T39">
            <v>89.88095238095238</v>
          </cell>
          <cell r="U39" t="str">
            <v>A</v>
          </cell>
          <cell r="V39">
            <v>30</v>
          </cell>
          <cell r="W39">
            <v>15</v>
          </cell>
          <cell r="X39">
            <v>20</v>
          </cell>
          <cell r="Y39">
            <v>33.333333333333329</v>
          </cell>
          <cell r="Z39" t="str">
            <v>NG</v>
          </cell>
          <cell r="AA39">
            <v>45</v>
          </cell>
          <cell r="AB39">
            <v>15</v>
          </cell>
          <cell r="AC39">
            <v>50</v>
          </cell>
          <cell r="AD39">
            <v>83.333333333333343</v>
          </cell>
          <cell r="AE39" t="str">
            <v>A</v>
          </cell>
        </row>
        <row r="40">
          <cell r="A40">
            <v>32</v>
          </cell>
          <cell r="B40" t="str">
            <v>K</v>
          </cell>
          <cell r="C40">
            <v>63172</v>
          </cell>
          <cell r="D40">
            <v>120</v>
          </cell>
          <cell r="E40">
            <v>100</v>
          </cell>
          <cell r="F40">
            <v>83.333333333333343</v>
          </cell>
          <cell r="G40">
            <v>22</v>
          </cell>
          <cell r="H40">
            <v>15</v>
          </cell>
          <cell r="I40">
            <v>60</v>
          </cell>
          <cell r="J40">
            <v>100</v>
          </cell>
          <cell r="K40" t="str">
            <v>A+</v>
          </cell>
          <cell r="L40">
            <v>37</v>
          </cell>
          <cell r="M40">
            <v>25</v>
          </cell>
          <cell r="N40">
            <v>45</v>
          </cell>
          <cell r="O40">
            <v>45</v>
          </cell>
          <cell r="P40" t="str">
            <v>C</v>
          </cell>
          <cell r="Q40">
            <v>8</v>
          </cell>
          <cell r="R40">
            <v>20</v>
          </cell>
          <cell r="S40">
            <v>72.047619047618994</v>
          </cell>
          <cell r="T40">
            <v>90.059523809523739</v>
          </cell>
          <cell r="U40" t="str">
            <v>A+</v>
          </cell>
          <cell r="V40">
            <v>30</v>
          </cell>
          <cell r="W40">
            <v>15</v>
          </cell>
          <cell r="X40">
            <v>20</v>
          </cell>
          <cell r="Y40">
            <v>33.333333333333329</v>
          </cell>
          <cell r="Z40" t="str">
            <v>NG</v>
          </cell>
          <cell r="AA40">
            <v>46.607142857142897</v>
          </cell>
          <cell r="AB40">
            <v>15</v>
          </cell>
          <cell r="AC40">
            <v>50</v>
          </cell>
          <cell r="AD40">
            <v>83.333333333333343</v>
          </cell>
          <cell r="AE40" t="str">
            <v>A</v>
          </cell>
        </row>
        <row r="41">
          <cell r="A41">
            <v>33</v>
          </cell>
          <cell r="B41"/>
          <cell r="C41"/>
          <cell r="D41"/>
          <cell r="E41"/>
          <cell r="F41" t="e">
            <v>#DIV/0!</v>
          </cell>
          <cell r="G41"/>
          <cell r="H41"/>
          <cell r="I41"/>
          <cell r="J41"/>
          <cell r="K41" t="str">
            <v>NG</v>
          </cell>
          <cell r="L41"/>
          <cell r="M41"/>
          <cell r="N41"/>
          <cell r="O41"/>
          <cell r="P41" t="str">
            <v>NG</v>
          </cell>
          <cell r="Q41"/>
          <cell r="R41"/>
          <cell r="S41"/>
          <cell r="T41" t="e">
            <v>#DIV/0!</v>
          </cell>
          <cell r="U41" t="e">
            <v>#DIV/0!</v>
          </cell>
          <cell r="V41">
            <v>30</v>
          </cell>
          <cell r="W41">
            <v>15</v>
          </cell>
          <cell r="X41">
            <v>20</v>
          </cell>
          <cell r="Y41">
            <v>33.333333333333329</v>
          </cell>
          <cell r="Z41" t="str">
            <v>NG</v>
          </cell>
          <cell r="AA41">
            <v>48.214285714285701</v>
          </cell>
          <cell r="AB41"/>
          <cell r="AC41"/>
          <cell r="AD41" t="e">
            <v>#DIV/0!</v>
          </cell>
          <cell r="AE41" t="e">
            <v>#DIV/0!</v>
          </cell>
        </row>
        <row r="42">
          <cell r="A42">
            <v>34</v>
          </cell>
          <cell r="B42"/>
          <cell r="C42"/>
          <cell r="D42"/>
          <cell r="E42"/>
          <cell r="F42" t="e">
            <v>#DIV/0!</v>
          </cell>
          <cell r="G42"/>
          <cell r="H42"/>
          <cell r="I42"/>
          <cell r="J42"/>
          <cell r="K42" t="str">
            <v>NG</v>
          </cell>
          <cell r="L42"/>
          <cell r="M42"/>
          <cell r="N42"/>
          <cell r="O42"/>
          <cell r="P42" t="str">
            <v>NG</v>
          </cell>
          <cell r="Q42"/>
          <cell r="R42"/>
          <cell r="S42"/>
          <cell r="T42" t="e">
            <v>#DIV/0!</v>
          </cell>
          <cell r="U42" t="e">
            <v>#DIV/0!</v>
          </cell>
          <cell r="V42"/>
          <cell r="W42"/>
          <cell r="X42"/>
          <cell r="Y42" t="e">
            <v>#DIV/0!</v>
          </cell>
          <cell r="Z42" t="e">
            <v>#DIV/0!</v>
          </cell>
          <cell r="AA42"/>
          <cell r="AB42"/>
          <cell r="AC42"/>
          <cell r="AD42" t="e">
            <v>#DIV/0!</v>
          </cell>
          <cell r="AE42" t="e">
            <v>#DIV/0!</v>
          </cell>
        </row>
        <row r="43">
          <cell r="A43">
            <v>35</v>
          </cell>
          <cell r="B43"/>
          <cell r="C43"/>
          <cell r="D43"/>
          <cell r="E43"/>
          <cell r="F43" t="e">
            <v>#DIV/0!</v>
          </cell>
          <cell r="G43"/>
          <cell r="H43"/>
          <cell r="I43"/>
          <cell r="J43"/>
          <cell r="K43" t="str">
            <v>NG</v>
          </cell>
          <cell r="L43"/>
          <cell r="M43"/>
          <cell r="N43"/>
          <cell r="O43"/>
          <cell r="P43" t="str">
            <v>NG</v>
          </cell>
          <cell r="Q43"/>
          <cell r="R43"/>
          <cell r="S43"/>
          <cell r="T43"/>
          <cell r="U43" t="str">
            <v>NG</v>
          </cell>
          <cell r="V43"/>
          <cell r="W43"/>
          <cell r="X43"/>
          <cell r="Y43" t="e">
            <v>#DIV/0!</v>
          </cell>
          <cell r="Z43" t="e">
            <v>#DIV/0!</v>
          </cell>
          <cell r="AA43"/>
          <cell r="AB43"/>
          <cell r="AC43"/>
          <cell r="AD43" t="e">
            <v>#DIV/0!</v>
          </cell>
          <cell r="AE43" t="e">
            <v>#DIV/0!</v>
          </cell>
        </row>
        <row r="44">
          <cell r="A44">
            <v>36</v>
          </cell>
          <cell r="B44" t="str">
            <v>F</v>
          </cell>
          <cell r="C44">
            <v>63161</v>
          </cell>
          <cell r="D44">
            <v>120</v>
          </cell>
          <cell r="E44">
            <v>100</v>
          </cell>
          <cell r="F44">
            <v>83.333333333333343</v>
          </cell>
          <cell r="G44">
            <v>22</v>
          </cell>
          <cell r="H44">
            <v>15</v>
          </cell>
          <cell r="I44">
            <v>60</v>
          </cell>
          <cell r="J44">
            <v>100</v>
          </cell>
          <cell r="K44" t="str">
            <v>A+</v>
          </cell>
          <cell r="L44">
            <v>37</v>
          </cell>
          <cell r="M44">
            <v>25</v>
          </cell>
          <cell r="N44">
            <v>45</v>
          </cell>
          <cell r="O44">
            <v>45</v>
          </cell>
          <cell r="P44" t="str">
            <v>C</v>
          </cell>
          <cell r="Q44">
            <v>8</v>
          </cell>
          <cell r="R44">
            <v>20</v>
          </cell>
          <cell r="S44">
            <v>70</v>
          </cell>
          <cell r="T44">
            <v>87.5</v>
          </cell>
          <cell r="U44" t="str">
            <v>A</v>
          </cell>
          <cell r="V44">
            <v>30</v>
          </cell>
          <cell r="W44">
            <v>15</v>
          </cell>
          <cell r="X44">
            <v>20</v>
          </cell>
          <cell r="Y44">
            <v>33.333333333333329</v>
          </cell>
          <cell r="Z44" t="str">
            <v>NG</v>
          </cell>
          <cell r="AA44">
            <v>30</v>
          </cell>
          <cell r="AB44">
            <v>15</v>
          </cell>
          <cell r="AC44">
            <v>50</v>
          </cell>
          <cell r="AD44">
            <v>83.333333333333343</v>
          </cell>
          <cell r="AE44" t="str">
            <v>A</v>
          </cell>
        </row>
        <row r="45">
          <cell r="A45">
            <v>37</v>
          </cell>
          <cell r="B45" t="str">
            <v>G</v>
          </cell>
          <cell r="C45">
            <v>63162</v>
          </cell>
          <cell r="D45">
            <v>120</v>
          </cell>
          <cell r="E45">
            <v>100</v>
          </cell>
          <cell r="F45">
            <v>83.333333333333343</v>
          </cell>
          <cell r="G45">
            <v>22</v>
          </cell>
          <cell r="H45">
            <v>15</v>
          </cell>
          <cell r="I45">
            <v>60</v>
          </cell>
          <cell r="J45">
            <v>100</v>
          </cell>
          <cell r="K45" t="str">
            <v>A+</v>
          </cell>
          <cell r="L45">
            <v>37</v>
          </cell>
          <cell r="M45">
            <v>25</v>
          </cell>
          <cell r="N45">
            <v>45</v>
          </cell>
          <cell r="O45">
            <v>45</v>
          </cell>
          <cell r="P45" t="str">
            <v>C</v>
          </cell>
          <cell r="Q45">
            <v>8</v>
          </cell>
          <cell r="R45">
            <v>20</v>
          </cell>
          <cell r="S45">
            <v>75</v>
          </cell>
          <cell r="T45">
            <v>93.75</v>
          </cell>
          <cell r="U45" t="str">
            <v>A+</v>
          </cell>
          <cell r="V45">
            <v>30</v>
          </cell>
          <cell r="W45">
            <v>15</v>
          </cell>
          <cell r="X45">
            <v>20</v>
          </cell>
          <cell r="Y45">
            <v>33.333333333333329</v>
          </cell>
          <cell r="Z45" t="str">
            <v>NG</v>
          </cell>
          <cell r="AA45">
            <v>30</v>
          </cell>
          <cell r="AB45">
            <v>15</v>
          </cell>
          <cell r="AC45">
            <v>50</v>
          </cell>
          <cell r="AD45">
            <v>83.333333333333343</v>
          </cell>
          <cell r="AE45" t="str">
            <v>A</v>
          </cell>
        </row>
        <row r="46">
          <cell r="A46">
            <v>38</v>
          </cell>
          <cell r="B46" t="str">
            <v>H</v>
          </cell>
          <cell r="C46">
            <v>63163</v>
          </cell>
          <cell r="D46">
            <v>120</v>
          </cell>
          <cell r="E46">
            <v>100</v>
          </cell>
          <cell r="F46">
            <v>83.333333333333343</v>
          </cell>
          <cell r="G46">
            <v>22</v>
          </cell>
          <cell r="H46">
            <v>15</v>
          </cell>
          <cell r="I46">
            <v>60</v>
          </cell>
          <cell r="J46">
            <v>100</v>
          </cell>
          <cell r="K46" t="str">
            <v>A+</v>
          </cell>
          <cell r="L46">
            <v>37</v>
          </cell>
          <cell r="M46">
            <v>25</v>
          </cell>
          <cell r="N46">
            <v>45</v>
          </cell>
          <cell r="O46">
            <v>45</v>
          </cell>
          <cell r="P46" t="str">
            <v>C</v>
          </cell>
          <cell r="Q46">
            <v>8</v>
          </cell>
          <cell r="R46">
            <v>20</v>
          </cell>
          <cell r="S46">
            <v>75</v>
          </cell>
          <cell r="T46">
            <v>93.75</v>
          </cell>
          <cell r="U46" t="str">
            <v>A+</v>
          </cell>
          <cell r="V46">
            <v>30</v>
          </cell>
          <cell r="W46">
            <v>15</v>
          </cell>
          <cell r="X46">
            <v>20</v>
          </cell>
          <cell r="Y46">
            <v>33.333333333333329</v>
          </cell>
          <cell r="Z46" t="str">
            <v>NG</v>
          </cell>
          <cell r="AA46">
            <v>30</v>
          </cell>
          <cell r="AB46">
            <v>15</v>
          </cell>
          <cell r="AC46">
            <v>50</v>
          </cell>
          <cell r="AD46">
            <v>83.333333333333343</v>
          </cell>
          <cell r="AE46" t="str">
            <v>A</v>
          </cell>
        </row>
        <row r="47">
          <cell r="A47">
            <v>39</v>
          </cell>
          <cell r="B47" t="str">
            <v>I</v>
          </cell>
          <cell r="C47">
            <v>63164</v>
          </cell>
          <cell r="D47">
            <v>120</v>
          </cell>
          <cell r="E47">
            <v>100</v>
          </cell>
          <cell r="F47">
            <v>83.333333333333343</v>
          </cell>
          <cell r="G47">
            <v>22</v>
          </cell>
          <cell r="H47">
            <v>15</v>
          </cell>
          <cell r="I47">
            <v>60</v>
          </cell>
          <cell r="J47">
            <v>100</v>
          </cell>
          <cell r="K47" t="str">
            <v>A+</v>
          </cell>
          <cell r="L47">
            <v>37</v>
          </cell>
          <cell r="M47">
            <v>25</v>
          </cell>
          <cell r="N47">
            <v>45</v>
          </cell>
          <cell r="O47">
            <v>45</v>
          </cell>
          <cell r="P47" t="str">
            <v>C</v>
          </cell>
          <cell r="Q47">
            <v>8</v>
          </cell>
          <cell r="R47">
            <v>20</v>
          </cell>
          <cell r="S47">
            <v>55</v>
          </cell>
          <cell r="T47">
            <v>68.75</v>
          </cell>
          <cell r="U47" t="str">
            <v>B</v>
          </cell>
          <cell r="V47">
            <v>30</v>
          </cell>
          <cell r="W47">
            <v>15</v>
          </cell>
          <cell r="X47">
            <v>20</v>
          </cell>
          <cell r="Y47">
            <v>33.333333333333329</v>
          </cell>
          <cell r="Z47" t="str">
            <v>NG</v>
          </cell>
          <cell r="AA47">
            <v>30</v>
          </cell>
          <cell r="AB47">
            <v>15</v>
          </cell>
          <cell r="AC47">
            <v>50</v>
          </cell>
          <cell r="AD47">
            <v>83.333333333333343</v>
          </cell>
          <cell r="AE47" t="str">
            <v>A</v>
          </cell>
        </row>
        <row r="48">
          <cell r="A48">
            <v>40</v>
          </cell>
          <cell r="B48" t="str">
            <v>J</v>
          </cell>
          <cell r="C48">
            <v>63165</v>
          </cell>
          <cell r="D48">
            <v>120</v>
          </cell>
          <cell r="E48">
            <v>100</v>
          </cell>
          <cell r="F48">
            <v>83.333333333333343</v>
          </cell>
          <cell r="G48">
            <v>22</v>
          </cell>
          <cell r="H48">
            <v>15</v>
          </cell>
          <cell r="I48">
            <v>60</v>
          </cell>
          <cell r="J48">
            <v>100</v>
          </cell>
          <cell r="K48" t="str">
            <v>A+</v>
          </cell>
          <cell r="L48">
            <v>37</v>
          </cell>
          <cell r="M48">
            <v>25</v>
          </cell>
          <cell r="N48">
            <v>45</v>
          </cell>
          <cell r="O48">
            <v>45</v>
          </cell>
          <cell r="P48" t="str">
            <v>C</v>
          </cell>
          <cell r="Q48">
            <v>8</v>
          </cell>
          <cell r="R48">
            <v>20</v>
          </cell>
          <cell r="S48">
            <v>75</v>
          </cell>
          <cell r="T48">
            <v>93.75</v>
          </cell>
          <cell r="U48" t="str">
            <v>A+</v>
          </cell>
          <cell r="V48">
            <v>30</v>
          </cell>
          <cell r="W48">
            <v>15</v>
          </cell>
          <cell r="X48">
            <v>20</v>
          </cell>
          <cell r="Y48">
            <v>33.333333333333329</v>
          </cell>
          <cell r="Z48" t="str">
            <v>NG</v>
          </cell>
          <cell r="AA48">
            <v>30</v>
          </cell>
          <cell r="AB48">
            <v>15</v>
          </cell>
          <cell r="AC48">
            <v>50</v>
          </cell>
          <cell r="AD48">
            <v>83.333333333333343</v>
          </cell>
          <cell r="AE48" t="str">
            <v>A</v>
          </cell>
        </row>
        <row r="49">
          <cell r="A49">
            <v>41</v>
          </cell>
          <cell r="B49" t="str">
            <v>K</v>
          </cell>
          <cell r="C49">
            <v>63166</v>
          </cell>
          <cell r="D49">
            <v>120</v>
          </cell>
          <cell r="E49">
            <v>100</v>
          </cell>
          <cell r="F49">
            <v>83.333333333333343</v>
          </cell>
          <cell r="G49">
            <v>22</v>
          </cell>
          <cell r="H49">
            <v>15</v>
          </cell>
          <cell r="I49">
            <v>60</v>
          </cell>
          <cell r="J49">
            <v>100</v>
          </cell>
          <cell r="K49" t="str">
            <v>A+</v>
          </cell>
          <cell r="L49">
            <v>37</v>
          </cell>
          <cell r="M49">
            <v>25</v>
          </cell>
          <cell r="N49">
            <v>45</v>
          </cell>
          <cell r="O49">
            <v>45</v>
          </cell>
          <cell r="P49" t="str">
            <v>C</v>
          </cell>
          <cell r="Q49">
            <v>8</v>
          </cell>
          <cell r="R49">
            <v>20</v>
          </cell>
          <cell r="S49">
            <v>75</v>
          </cell>
          <cell r="T49">
            <v>93.75</v>
          </cell>
          <cell r="U49" t="str">
            <v>A+</v>
          </cell>
          <cell r="V49">
            <v>30</v>
          </cell>
          <cell r="W49">
            <v>15</v>
          </cell>
          <cell r="X49">
            <v>20</v>
          </cell>
          <cell r="Y49">
            <v>33.333333333333329</v>
          </cell>
          <cell r="Z49" t="str">
            <v>NG</v>
          </cell>
          <cell r="AA49">
            <v>30</v>
          </cell>
          <cell r="AB49">
            <v>15</v>
          </cell>
          <cell r="AC49">
            <v>50</v>
          </cell>
          <cell r="AD49">
            <v>83.333333333333343</v>
          </cell>
          <cell r="AE49" t="str">
            <v>A</v>
          </cell>
        </row>
        <row r="50">
          <cell r="A50">
            <v>42</v>
          </cell>
          <cell r="B50"/>
          <cell r="C50"/>
          <cell r="D50"/>
          <cell r="E50"/>
          <cell r="F50" t="e">
            <v>#DIV/0!</v>
          </cell>
          <cell r="G50"/>
          <cell r="H50"/>
          <cell r="I50"/>
          <cell r="J50"/>
          <cell r="K50" t="str">
            <v>NG</v>
          </cell>
          <cell r="L50"/>
          <cell r="M50"/>
          <cell r="N50"/>
          <cell r="O50"/>
          <cell r="P50" t="str">
            <v>NG</v>
          </cell>
          <cell r="Q50"/>
          <cell r="R50"/>
          <cell r="S50"/>
          <cell r="T50"/>
          <cell r="U50" t="str">
            <v>NG</v>
          </cell>
          <cell r="V50"/>
          <cell r="W50"/>
          <cell r="X50"/>
          <cell r="Y50" t="e">
            <v>#DIV/0!</v>
          </cell>
          <cell r="Z50" t="e">
            <v>#DIV/0!</v>
          </cell>
          <cell r="AA50"/>
          <cell r="AB50"/>
          <cell r="AC50"/>
          <cell r="AD50" t="e">
            <v>#DIV/0!</v>
          </cell>
          <cell r="AE50" t="e">
            <v>#DIV/0!</v>
          </cell>
        </row>
        <row r="51">
          <cell r="A51"/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</row>
        <row r="52">
          <cell r="A52"/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</row>
        <row r="53">
          <cell r="A53"/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</row>
        <row r="57">
          <cell r="A57"/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  <cell r="AE57"/>
        </row>
        <row r="58">
          <cell r="A58"/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</row>
        <row r="59">
          <cell r="A59"/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</row>
        <row r="60">
          <cell r="A60"/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sbschool@gmail.com%20%20%20Ph%20no%209821290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4B63-33DC-4519-9078-2C2F10126D38}">
  <dimension ref="A1:P103"/>
  <sheetViews>
    <sheetView workbookViewId="0">
      <pane xSplit="2" topLeftCell="C1" activePane="topRight" state="frozen"/>
      <selection pane="topRight" activeCell="A12" sqref="A12"/>
    </sheetView>
  </sheetViews>
  <sheetFormatPr defaultRowHeight="14.5" x14ac:dyDescent="0.35"/>
  <cols>
    <col min="1" max="1" width="6.6328125" customWidth="1"/>
    <col min="2" max="2" width="22.81640625" customWidth="1"/>
    <col min="3" max="3" width="18.26953125" customWidth="1"/>
    <col min="4" max="4" width="12.453125" customWidth="1"/>
    <col min="7" max="7" width="10.453125" customWidth="1"/>
    <col min="8" max="8" width="13.54296875" customWidth="1"/>
    <col min="9" max="9" width="12.7265625" customWidth="1"/>
    <col min="10" max="10" width="10.6328125" customWidth="1"/>
    <col min="11" max="11" width="13.90625" customWidth="1"/>
    <col min="12" max="12" width="13" customWidth="1"/>
    <col min="13" max="13" width="11.26953125" customWidth="1"/>
  </cols>
  <sheetData>
    <row r="1" spans="1:16" ht="52.5" x14ac:dyDescent="0.35">
      <c r="A1" s="84" t="s">
        <v>59</v>
      </c>
      <c r="B1" s="84" t="s">
        <v>60</v>
      </c>
      <c r="C1" s="84" t="s">
        <v>61</v>
      </c>
      <c r="D1" s="84" t="s">
        <v>62</v>
      </c>
      <c r="E1" s="84" t="s">
        <v>63</v>
      </c>
      <c r="F1" s="84" t="s">
        <v>64</v>
      </c>
      <c r="G1" s="84" t="s">
        <v>67</v>
      </c>
      <c r="H1" s="84" t="s">
        <v>66</v>
      </c>
      <c r="I1" s="84" t="s">
        <v>16</v>
      </c>
      <c r="J1" s="84" t="s">
        <v>17</v>
      </c>
      <c r="K1" s="84" t="s">
        <v>53</v>
      </c>
      <c r="L1" s="84" t="s">
        <v>56</v>
      </c>
      <c r="M1" s="84" t="s">
        <v>58</v>
      </c>
      <c r="N1" s="84" t="s">
        <v>19</v>
      </c>
      <c r="O1" s="84" t="s">
        <v>83</v>
      </c>
      <c r="P1" s="84" t="s">
        <v>65</v>
      </c>
    </row>
    <row r="2" spans="1:16" ht="17.5" x14ac:dyDescent="0.35">
      <c r="A2" s="84"/>
      <c r="B2" s="84"/>
      <c r="C2" s="84"/>
      <c r="D2" s="84"/>
      <c r="E2" s="84"/>
      <c r="F2" s="84"/>
      <c r="G2" s="84">
        <v>100</v>
      </c>
      <c r="H2" s="84">
        <v>100</v>
      </c>
      <c r="I2" s="84">
        <v>100</v>
      </c>
      <c r="J2" s="84">
        <v>100</v>
      </c>
      <c r="K2" s="84">
        <v>100</v>
      </c>
      <c r="L2" s="84">
        <v>100</v>
      </c>
      <c r="M2" s="84">
        <v>100</v>
      </c>
      <c r="N2" s="84"/>
      <c r="O2" s="84"/>
      <c r="P2" s="84"/>
    </row>
    <row r="3" spans="1:16" x14ac:dyDescent="0.35">
      <c r="A3" s="61">
        <v>1</v>
      </c>
      <c r="B3" s="61" t="s">
        <v>68</v>
      </c>
      <c r="C3" s="61" t="s">
        <v>73</v>
      </c>
      <c r="D3" s="61">
        <v>120</v>
      </c>
      <c r="E3" s="61">
        <v>115</v>
      </c>
      <c r="F3" s="62">
        <f>E3/D3</f>
        <v>0.95833333333333337</v>
      </c>
      <c r="G3" s="61">
        <v>98</v>
      </c>
      <c r="H3" s="61">
        <v>88</v>
      </c>
      <c r="I3" s="61">
        <v>76</v>
      </c>
      <c r="J3" s="61">
        <v>98</v>
      </c>
      <c r="K3" s="61">
        <v>89</v>
      </c>
      <c r="L3" s="61">
        <v>67</v>
      </c>
      <c r="M3" s="61">
        <v>45</v>
      </c>
      <c r="N3" s="61">
        <f>SUM(G3:M3)</f>
        <v>561</v>
      </c>
      <c r="O3" s="61" t="str">
        <f>IF(COUNTA(G3:M3)=0,"",IF(MIN(G3:M3)&lt;35,"Fail","Pass"))</f>
        <v>Pass</v>
      </c>
      <c r="P3" s="61">
        <f>IF(O3&lt;&gt;"Pass","",COUNTIFS($O$3:$O$102,"Pass",$N$3:$N$102,"&gt;"&amp;N3)+1)</f>
        <v>2</v>
      </c>
    </row>
    <row r="4" spans="1:16" x14ac:dyDescent="0.35">
      <c r="A4" s="61">
        <v>2</v>
      </c>
      <c r="B4" s="61" t="s">
        <v>69</v>
      </c>
      <c r="C4" s="61" t="s">
        <v>74</v>
      </c>
      <c r="D4" s="61">
        <v>120</v>
      </c>
      <c r="E4" s="61">
        <v>111</v>
      </c>
      <c r="F4" s="62">
        <f t="shared" ref="F4:F67" si="0">E4/D4</f>
        <v>0.92500000000000004</v>
      </c>
      <c r="G4" s="61">
        <v>36</v>
      </c>
      <c r="H4" s="61">
        <v>45</v>
      </c>
      <c r="I4" s="61">
        <v>66</v>
      </c>
      <c r="J4" s="61">
        <v>77</v>
      </c>
      <c r="K4" s="61">
        <v>56</v>
      </c>
      <c r="L4" s="61">
        <v>57</v>
      </c>
      <c r="M4" s="61">
        <v>57</v>
      </c>
      <c r="N4" s="61">
        <f t="shared" ref="N4:N67" si="1">SUM(G4:M4)</f>
        <v>394</v>
      </c>
      <c r="O4" s="61" t="str">
        <f t="shared" ref="O4:O67" si="2">IF(COUNTA(G4:M4)=0,"",IF(MIN(G4:M4)&lt;35,"Fail","Pass"))</f>
        <v>Pass</v>
      </c>
      <c r="P4" s="61">
        <f t="shared" ref="P4:P67" si="3">IF(O4&lt;&gt;"Pass","",COUNTIFS($O$3:$O$102,"Pass",$N$3:$N$102,"&gt;"&amp;N4)+1)</f>
        <v>6</v>
      </c>
    </row>
    <row r="5" spans="1:16" x14ac:dyDescent="0.35">
      <c r="A5" s="61">
        <v>3</v>
      </c>
      <c r="B5" s="61" t="s">
        <v>70</v>
      </c>
      <c r="C5" s="61" t="s">
        <v>76</v>
      </c>
      <c r="D5" s="61">
        <v>120</v>
      </c>
      <c r="E5" s="61">
        <v>115</v>
      </c>
      <c r="F5" s="62">
        <f t="shared" si="0"/>
        <v>0.95833333333333337</v>
      </c>
      <c r="G5" s="61">
        <v>56</v>
      </c>
      <c r="H5" s="61">
        <v>75</v>
      </c>
      <c r="I5" s="61">
        <v>77</v>
      </c>
      <c r="J5" s="61">
        <v>88</v>
      </c>
      <c r="K5" s="61">
        <v>98</v>
      </c>
      <c r="L5" s="61">
        <v>36</v>
      </c>
      <c r="M5" s="61">
        <v>45</v>
      </c>
      <c r="N5" s="61">
        <f t="shared" si="1"/>
        <v>475</v>
      </c>
      <c r="O5" s="61" t="str">
        <f t="shared" si="2"/>
        <v>Pass</v>
      </c>
      <c r="P5" s="61">
        <f t="shared" si="3"/>
        <v>4</v>
      </c>
    </row>
    <row r="6" spans="1:16" x14ac:dyDescent="0.35">
      <c r="A6" s="61">
        <v>4</v>
      </c>
      <c r="B6" s="61" t="s">
        <v>71</v>
      </c>
      <c r="C6" s="61" t="s">
        <v>75</v>
      </c>
      <c r="D6" s="61">
        <v>120</v>
      </c>
      <c r="E6" s="61">
        <v>97</v>
      </c>
      <c r="F6" s="62">
        <f t="shared" si="0"/>
        <v>0.80833333333333335</v>
      </c>
      <c r="G6" s="61">
        <v>45</v>
      </c>
      <c r="H6" s="61">
        <v>46</v>
      </c>
      <c r="I6" s="61">
        <v>45</v>
      </c>
      <c r="J6" s="61">
        <v>44</v>
      </c>
      <c r="K6" s="61">
        <v>45</v>
      </c>
      <c r="L6" s="61">
        <v>35</v>
      </c>
      <c r="M6" s="61">
        <v>58</v>
      </c>
      <c r="N6" s="61">
        <f t="shared" si="1"/>
        <v>318</v>
      </c>
      <c r="O6" s="61" t="str">
        <f t="shared" si="2"/>
        <v>Pass</v>
      </c>
      <c r="P6" s="61">
        <f t="shared" si="3"/>
        <v>7</v>
      </c>
    </row>
    <row r="7" spans="1:16" x14ac:dyDescent="0.35">
      <c r="A7" s="61">
        <v>5</v>
      </c>
      <c r="B7" s="61" t="s">
        <v>72</v>
      </c>
      <c r="C7" s="63">
        <v>42706</v>
      </c>
      <c r="D7" s="61">
        <v>120</v>
      </c>
      <c r="E7" s="61">
        <v>105</v>
      </c>
      <c r="F7" s="62">
        <f t="shared" si="0"/>
        <v>0.875</v>
      </c>
      <c r="G7" s="61">
        <v>99</v>
      </c>
      <c r="H7" s="61">
        <v>99</v>
      </c>
      <c r="I7" s="61">
        <v>99</v>
      </c>
      <c r="J7" s="61">
        <v>99</v>
      </c>
      <c r="K7" s="61">
        <v>99</v>
      </c>
      <c r="L7" s="61">
        <v>99</v>
      </c>
      <c r="M7" s="61">
        <v>98</v>
      </c>
      <c r="N7" s="61">
        <f t="shared" si="1"/>
        <v>692</v>
      </c>
      <c r="O7" s="61" t="str">
        <f t="shared" si="2"/>
        <v>Pass</v>
      </c>
      <c r="P7" s="61">
        <f t="shared" si="3"/>
        <v>1</v>
      </c>
    </row>
    <row r="8" spans="1:16" x14ac:dyDescent="0.35">
      <c r="A8" s="61">
        <v>6</v>
      </c>
      <c r="B8" s="61" t="s">
        <v>79</v>
      </c>
      <c r="C8" s="63">
        <v>41245</v>
      </c>
      <c r="D8" s="61">
        <v>120</v>
      </c>
      <c r="E8" s="61">
        <v>115</v>
      </c>
      <c r="F8" s="62">
        <f t="shared" si="0"/>
        <v>0.95833333333333337</v>
      </c>
      <c r="G8" s="61">
        <v>98</v>
      </c>
      <c r="H8" s="61">
        <v>88</v>
      </c>
      <c r="I8" s="61">
        <v>77</v>
      </c>
      <c r="J8" s="61">
        <v>66</v>
      </c>
      <c r="K8" s="61">
        <v>55</v>
      </c>
      <c r="L8" s="61">
        <v>44</v>
      </c>
      <c r="M8" s="61">
        <v>97</v>
      </c>
      <c r="N8" s="61">
        <f t="shared" si="1"/>
        <v>525</v>
      </c>
      <c r="O8" s="61" t="str">
        <f t="shared" si="2"/>
        <v>Pass</v>
      </c>
      <c r="P8" s="61">
        <f t="shared" si="3"/>
        <v>3</v>
      </c>
    </row>
    <row r="9" spans="1:16" x14ac:dyDescent="0.35">
      <c r="A9" s="61">
        <v>7</v>
      </c>
      <c r="B9" s="61" t="s">
        <v>82</v>
      </c>
      <c r="C9" s="63">
        <v>41245</v>
      </c>
      <c r="D9" s="61">
        <v>120</v>
      </c>
      <c r="E9" s="61">
        <v>118</v>
      </c>
      <c r="F9" s="62">
        <f t="shared" si="0"/>
        <v>0.98333333333333328</v>
      </c>
      <c r="G9" s="61">
        <v>34</v>
      </c>
      <c r="H9" s="61">
        <v>45</v>
      </c>
      <c r="I9" s="61">
        <v>56</v>
      </c>
      <c r="J9" s="61">
        <v>56</v>
      </c>
      <c r="K9" s="61">
        <v>77</v>
      </c>
      <c r="L9" s="61">
        <v>55</v>
      </c>
      <c r="M9" s="61">
        <v>56</v>
      </c>
      <c r="N9" s="61">
        <f t="shared" si="1"/>
        <v>379</v>
      </c>
      <c r="O9" s="61" t="str">
        <f t="shared" si="2"/>
        <v>Fail</v>
      </c>
      <c r="P9" s="61" t="str">
        <f t="shared" si="3"/>
        <v/>
      </c>
    </row>
    <row r="10" spans="1:16" x14ac:dyDescent="0.35">
      <c r="A10" s="61">
        <v>8</v>
      </c>
      <c r="B10" s="61"/>
      <c r="C10" s="61"/>
      <c r="D10" s="61">
        <v>120</v>
      </c>
      <c r="E10" s="61"/>
      <c r="F10" s="62">
        <f t="shared" si="0"/>
        <v>0</v>
      </c>
      <c r="G10" s="61"/>
      <c r="H10" s="61"/>
      <c r="I10" s="61"/>
      <c r="J10" s="61"/>
      <c r="K10" s="61"/>
      <c r="L10" s="61"/>
      <c r="M10" s="61"/>
      <c r="N10" s="61">
        <f t="shared" si="1"/>
        <v>0</v>
      </c>
      <c r="O10" s="61" t="str">
        <f t="shared" si="2"/>
        <v/>
      </c>
      <c r="P10" s="61" t="str">
        <f t="shared" si="3"/>
        <v/>
      </c>
    </row>
    <row r="11" spans="1:16" x14ac:dyDescent="0.35">
      <c r="A11" s="61">
        <v>9</v>
      </c>
      <c r="B11" s="61"/>
      <c r="C11" s="61"/>
      <c r="D11" s="61">
        <v>120</v>
      </c>
      <c r="E11" s="61"/>
      <c r="F11" s="62">
        <f t="shared" si="0"/>
        <v>0</v>
      </c>
      <c r="G11" s="61"/>
      <c r="H11" s="61"/>
      <c r="I11" s="61"/>
      <c r="J11" s="61"/>
      <c r="K11" s="61"/>
      <c r="L11" s="61"/>
      <c r="M11" s="61"/>
      <c r="N11" s="61">
        <f t="shared" si="1"/>
        <v>0</v>
      </c>
      <c r="O11" s="61" t="str">
        <f t="shared" si="2"/>
        <v/>
      </c>
      <c r="P11" s="61" t="str">
        <f t="shared" si="3"/>
        <v/>
      </c>
    </row>
    <row r="12" spans="1:16" x14ac:dyDescent="0.35">
      <c r="A12" s="61">
        <v>10</v>
      </c>
      <c r="B12" s="61"/>
      <c r="C12" s="61"/>
      <c r="D12" s="61">
        <v>120</v>
      </c>
      <c r="E12" s="61"/>
      <c r="F12" s="62">
        <f t="shared" si="0"/>
        <v>0</v>
      </c>
      <c r="G12" s="61"/>
      <c r="H12" s="61"/>
      <c r="I12" s="61"/>
      <c r="J12" s="61"/>
      <c r="K12" s="61"/>
      <c r="L12" s="61"/>
      <c r="M12" s="61"/>
      <c r="N12" s="61">
        <f t="shared" si="1"/>
        <v>0</v>
      </c>
      <c r="O12" s="61" t="str">
        <f t="shared" si="2"/>
        <v/>
      </c>
      <c r="P12" s="61" t="str">
        <f t="shared" si="3"/>
        <v/>
      </c>
    </row>
    <row r="13" spans="1:16" x14ac:dyDescent="0.35">
      <c r="A13" s="61">
        <v>11</v>
      </c>
      <c r="B13" s="61"/>
      <c r="C13" s="61"/>
      <c r="D13" s="61">
        <v>120</v>
      </c>
      <c r="E13" s="61"/>
      <c r="F13" s="62">
        <f t="shared" si="0"/>
        <v>0</v>
      </c>
      <c r="G13" s="61"/>
      <c r="H13" s="61"/>
      <c r="I13" s="61"/>
      <c r="J13" s="61"/>
      <c r="K13" s="61"/>
      <c r="L13" s="61"/>
      <c r="M13" s="61"/>
      <c r="N13" s="61">
        <f t="shared" si="1"/>
        <v>0</v>
      </c>
      <c r="O13" s="61" t="str">
        <f t="shared" si="2"/>
        <v/>
      </c>
      <c r="P13" s="61" t="str">
        <f t="shared" si="3"/>
        <v/>
      </c>
    </row>
    <row r="14" spans="1:16" x14ac:dyDescent="0.35">
      <c r="A14" s="61">
        <v>12</v>
      </c>
      <c r="B14" s="61"/>
      <c r="C14" s="61"/>
      <c r="D14" s="61">
        <v>120</v>
      </c>
      <c r="E14" s="61"/>
      <c r="F14" s="62">
        <f t="shared" si="0"/>
        <v>0</v>
      </c>
      <c r="G14" s="61"/>
      <c r="H14" s="61"/>
      <c r="I14" s="61"/>
      <c r="J14" s="61"/>
      <c r="K14" s="61"/>
      <c r="L14" s="61"/>
      <c r="M14" s="61"/>
      <c r="N14" s="61">
        <f t="shared" si="1"/>
        <v>0</v>
      </c>
      <c r="O14" s="61" t="str">
        <f t="shared" si="2"/>
        <v/>
      </c>
      <c r="P14" s="61" t="str">
        <f t="shared" si="3"/>
        <v/>
      </c>
    </row>
    <row r="15" spans="1:16" x14ac:dyDescent="0.35">
      <c r="A15" s="61">
        <v>13</v>
      </c>
      <c r="B15" s="61"/>
      <c r="C15" s="61"/>
      <c r="D15" s="61">
        <v>120</v>
      </c>
      <c r="E15" s="61"/>
      <c r="F15" s="62">
        <f t="shared" si="0"/>
        <v>0</v>
      </c>
      <c r="G15" s="61"/>
      <c r="H15" s="61"/>
      <c r="I15" s="61"/>
      <c r="J15" s="61"/>
      <c r="K15" s="61"/>
      <c r="L15" s="61"/>
      <c r="M15" s="61"/>
      <c r="N15" s="61">
        <f t="shared" si="1"/>
        <v>0</v>
      </c>
      <c r="O15" s="61" t="str">
        <f t="shared" si="2"/>
        <v/>
      </c>
      <c r="P15" s="61" t="str">
        <f t="shared" si="3"/>
        <v/>
      </c>
    </row>
    <row r="16" spans="1:16" x14ac:dyDescent="0.35">
      <c r="A16" s="61">
        <v>14</v>
      </c>
      <c r="B16" s="61"/>
      <c r="C16" s="61"/>
      <c r="D16" s="61">
        <v>120</v>
      </c>
      <c r="E16" s="61"/>
      <c r="F16" s="62">
        <f t="shared" si="0"/>
        <v>0</v>
      </c>
      <c r="G16" s="61"/>
      <c r="H16" s="61"/>
      <c r="I16" s="61"/>
      <c r="J16" s="61"/>
      <c r="K16" s="61"/>
      <c r="L16" s="61"/>
      <c r="M16" s="61"/>
      <c r="N16" s="61">
        <f t="shared" si="1"/>
        <v>0</v>
      </c>
      <c r="O16" s="61" t="str">
        <f t="shared" si="2"/>
        <v/>
      </c>
      <c r="P16" s="61" t="str">
        <f t="shared" si="3"/>
        <v/>
      </c>
    </row>
    <row r="17" spans="1:16" x14ac:dyDescent="0.35">
      <c r="A17" s="61">
        <v>15</v>
      </c>
      <c r="B17" s="61"/>
      <c r="C17" s="61"/>
      <c r="D17" s="61">
        <v>120</v>
      </c>
      <c r="E17" s="61"/>
      <c r="F17" s="62">
        <f t="shared" si="0"/>
        <v>0</v>
      </c>
      <c r="G17" s="61"/>
      <c r="H17" s="61"/>
      <c r="I17" s="61"/>
      <c r="J17" s="61"/>
      <c r="K17" s="61"/>
      <c r="L17" s="61"/>
      <c r="M17" s="61"/>
      <c r="N17" s="61">
        <f t="shared" si="1"/>
        <v>0</v>
      </c>
      <c r="O17" s="61" t="str">
        <f t="shared" si="2"/>
        <v/>
      </c>
      <c r="P17" s="61" t="str">
        <f t="shared" si="3"/>
        <v/>
      </c>
    </row>
    <row r="18" spans="1:16" x14ac:dyDescent="0.35">
      <c r="A18" s="61">
        <v>16</v>
      </c>
      <c r="B18" s="61"/>
      <c r="C18" s="61"/>
      <c r="D18" s="61">
        <v>120</v>
      </c>
      <c r="E18" s="61"/>
      <c r="F18" s="62">
        <f t="shared" si="0"/>
        <v>0</v>
      </c>
      <c r="G18" s="61"/>
      <c r="H18" s="61"/>
      <c r="I18" s="61"/>
      <c r="J18" s="61"/>
      <c r="K18" s="61"/>
      <c r="L18" s="61"/>
      <c r="M18" s="61"/>
      <c r="N18" s="61">
        <f t="shared" si="1"/>
        <v>0</v>
      </c>
      <c r="O18" s="61" t="str">
        <f t="shared" si="2"/>
        <v/>
      </c>
      <c r="P18" s="61" t="str">
        <f t="shared" si="3"/>
        <v/>
      </c>
    </row>
    <row r="19" spans="1:16" x14ac:dyDescent="0.35">
      <c r="A19" s="61">
        <v>17</v>
      </c>
      <c r="B19" s="61"/>
      <c r="C19" s="61"/>
      <c r="D19" s="61">
        <v>120</v>
      </c>
      <c r="E19" s="61"/>
      <c r="F19" s="62">
        <f t="shared" si="0"/>
        <v>0</v>
      </c>
      <c r="G19" s="61"/>
      <c r="H19" s="61"/>
      <c r="I19" s="61"/>
      <c r="J19" s="61"/>
      <c r="K19" s="61"/>
      <c r="L19" s="61"/>
      <c r="M19" s="61"/>
      <c r="N19" s="61">
        <f t="shared" si="1"/>
        <v>0</v>
      </c>
      <c r="O19" s="61" t="str">
        <f t="shared" si="2"/>
        <v/>
      </c>
      <c r="P19" s="61" t="str">
        <f t="shared" si="3"/>
        <v/>
      </c>
    </row>
    <row r="20" spans="1:16" x14ac:dyDescent="0.35">
      <c r="A20" s="61">
        <v>18</v>
      </c>
      <c r="B20" s="61"/>
      <c r="C20" s="61"/>
      <c r="D20" s="61">
        <v>120</v>
      </c>
      <c r="E20" s="61"/>
      <c r="F20" s="62">
        <f t="shared" si="0"/>
        <v>0</v>
      </c>
      <c r="G20" s="61"/>
      <c r="H20" s="61"/>
      <c r="I20" s="61"/>
      <c r="J20" s="61"/>
      <c r="K20" s="61"/>
      <c r="L20" s="61"/>
      <c r="M20" s="61"/>
      <c r="N20" s="61">
        <f t="shared" si="1"/>
        <v>0</v>
      </c>
      <c r="O20" s="61" t="str">
        <f t="shared" si="2"/>
        <v/>
      </c>
      <c r="P20" s="61" t="str">
        <f t="shared" si="3"/>
        <v/>
      </c>
    </row>
    <row r="21" spans="1:16" x14ac:dyDescent="0.35">
      <c r="A21" s="61">
        <v>19</v>
      </c>
      <c r="B21" s="61"/>
      <c r="C21" s="61"/>
      <c r="D21" s="61">
        <v>120</v>
      </c>
      <c r="E21" s="61"/>
      <c r="F21" s="62">
        <f t="shared" si="0"/>
        <v>0</v>
      </c>
      <c r="G21" s="61"/>
      <c r="H21" s="61"/>
      <c r="I21" s="61"/>
      <c r="J21" s="61"/>
      <c r="K21" s="61"/>
      <c r="L21" s="61"/>
      <c r="M21" s="61"/>
      <c r="N21" s="61">
        <f t="shared" si="1"/>
        <v>0</v>
      </c>
      <c r="O21" s="61" t="str">
        <f t="shared" si="2"/>
        <v/>
      </c>
      <c r="P21" s="61" t="str">
        <f t="shared" si="3"/>
        <v/>
      </c>
    </row>
    <row r="22" spans="1:16" x14ac:dyDescent="0.35">
      <c r="A22" s="61">
        <v>20</v>
      </c>
      <c r="B22" s="61"/>
      <c r="C22" s="61"/>
      <c r="D22" s="61">
        <v>120</v>
      </c>
      <c r="E22" s="61"/>
      <c r="F22" s="62">
        <f t="shared" si="0"/>
        <v>0</v>
      </c>
      <c r="G22" s="61"/>
      <c r="H22" s="61"/>
      <c r="I22" s="61"/>
      <c r="J22" s="61"/>
      <c r="K22" s="61"/>
      <c r="L22" s="61"/>
      <c r="M22" s="61"/>
      <c r="N22" s="61">
        <f t="shared" si="1"/>
        <v>0</v>
      </c>
      <c r="O22" s="61" t="str">
        <f t="shared" si="2"/>
        <v/>
      </c>
      <c r="P22" s="61" t="str">
        <f t="shared" si="3"/>
        <v/>
      </c>
    </row>
    <row r="23" spans="1:16" x14ac:dyDescent="0.35">
      <c r="A23" s="61">
        <v>21</v>
      </c>
      <c r="B23" s="61"/>
      <c r="C23" s="61"/>
      <c r="D23" s="61">
        <v>120</v>
      </c>
      <c r="E23" s="61"/>
      <c r="F23" s="62">
        <f t="shared" si="0"/>
        <v>0</v>
      </c>
      <c r="G23" s="61"/>
      <c r="H23" s="61"/>
      <c r="I23" s="61"/>
      <c r="J23" s="61"/>
      <c r="K23" s="61"/>
      <c r="L23" s="61"/>
      <c r="M23" s="61"/>
      <c r="N23" s="61">
        <f t="shared" si="1"/>
        <v>0</v>
      </c>
      <c r="O23" s="61" t="str">
        <f t="shared" si="2"/>
        <v/>
      </c>
      <c r="P23" s="61" t="str">
        <f t="shared" si="3"/>
        <v/>
      </c>
    </row>
    <row r="24" spans="1:16" x14ac:dyDescent="0.35">
      <c r="A24" s="61">
        <v>22</v>
      </c>
      <c r="B24" s="61"/>
      <c r="C24" s="61"/>
      <c r="D24" s="61">
        <v>120</v>
      </c>
      <c r="E24" s="61"/>
      <c r="F24" s="62">
        <f t="shared" si="0"/>
        <v>0</v>
      </c>
      <c r="G24" s="61"/>
      <c r="H24" s="61"/>
      <c r="I24" s="61"/>
      <c r="J24" s="61"/>
      <c r="K24" s="61"/>
      <c r="L24" s="61"/>
      <c r="M24" s="61"/>
      <c r="N24" s="61">
        <f t="shared" si="1"/>
        <v>0</v>
      </c>
      <c r="O24" s="61" t="str">
        <f t="shared" si="2"/>
        <v/>
      </c>
      <c r="P24" s="61" t="str">
        <f t="shared" si="3"/>
        <v/>
      </c>
    </row>
    <row r="25" spans="1:16" x14ac:dyDescent="0.35">
      <c r="A25" s="61">
        <v>23</v>
      </c>
      <c r="B25" s="61"/>
      <c r="C25" s="61"/>
      <c r="D25" s="61">
        <v>120</v>
      </c>
      <c r="E25" s="61"/>
      <c r="F25" s="62">
        <f t="shared" si="0"/>
        <v>0</v>
      </c>
      <c r="G25" s="61"/>
      <c r="H25" s="61"/>
      <c r="I25" s="61"/>
      <c r="J25" s="61"/>
      <c r="K25" s="61"/>
      <c r="L25" s="61"/>
      <c r="M25" s="61"/>
      <c r="N25" s="61">
        <f t="shared" si="1"/>
        <v>0</v>
      </c>
      <c r="O25" s="61" t="str">
        <f t="shared" si="2"/>
        <v/>
      </c>
      <c r="P25" s="61" t="str">
        <f t="shared" si="3"/>
        <v/>
      </c>
    </row>
    <row r="26" spans="1:16" x14ac:dyDescent="0.35">
      <c r="A26" s="61">
        <v>24</v>
      </c>
      <c r="B26" s="61"/>
      <c r="C26" s="61"/>
      <c r="D26" s="61">
        <v>120</v>
      </c>
      <c r="E26" s="61"/>
      <c r="F26" s="62">
        <f t="shared" si="0"/>
        <v>0</v>
      </c>
      <c r="G26" s="61"/>
      <c r="H26" s="61"/>
      <c r="I26" s="61"/>
      <c r="J26" s="61"/>
      <c r="K26" s="61"/>
      <c r="L26" s="61"/>
      <c r="M26" s="61"/>
      <c r="N26" s="61">
        <f t="shared" si="1"/>
        <v>0</v>
      </c>
      <c r="O26" s="61" t="str">
        <f t="shared" si="2"/>
        <v/>
      </c>
      <c r="P26" s="61" t="str">
        <f t="shared" si="3"/>
        <v/>
      </c>
    </row>
    <row r="27" spans="1:16" x14ac:dyDescent="0.35">
      <c r="A27" s="61">
        <v>25</v>
      </c>
      <c r="B27" s="61"/>
      <c r="C27" s="61"/>
      <c r="D27" s="61">
        <v>120</v>
      </c>
      <c r="E27" s="61"/>
      <c r="F27" s="62">
        <f t="shared" si="0"/>
        <v>0</v>
      </c>
      <c r="G27" s="61"/>
      <c r="H27" s="61"/>
      <c r="I27" s="61"/>
      <c r="J27" s="61"/>
      <c r="K27" s="61"/>
      <c r="L27" s="61"/>
      <c r="M27" s="61"/>
      <c r="N27" s="61">
        <f t="shared" si="1"/>
        <v>0</v>
      </c>
      <c r="O27" s="61" t="str">
        <f t="shared" si="2"/>
        <v/>
      </c>
      <c r="P27" s="61" t="str">
        <f t="shared" si="3"/>
        <v/>
      </c>
    </row>
    <row r="28" spans="1:16" x14ac:dyDescent="0.35">
      <c r="A28" s="61">
        <v>26</v>
      </c>
      <c r="B28" s="61"/>
      <c r="C28" s="61"/>
      <c r="D28" s="61">
        <v>120</v>
      </c>
      <c r="E28" s="61"/>
      <c r="F28" s="62">
        <f t="shared" si="0"/>
        <v>0</v>
      </c>
      <c r="G28" s="61"/>
      <c r="H28" s="61"/>
      <c r="I28" s="61"/>
      <c r="J28" s="61"/>
      <c r="K28" s="61"/>
      <c r="L28" s="61"/>
      <c r="M28" s="61"/>
      <c r="N28" s="61">
        <f t="shared" si="1"/>
        <v>0</v>
      </c>
      <c r="O28" s="61" t="str">
        <f t="shared" si="2"/>
        <v/>
      </c>
      <c r="P28" s="61" t="str">
        <f t="shared" si="3"/>
        <v/>
      </c>
    </row>
    <row r="29" spans="1:16" x14ac:dyDescent="0.35">
      <c r="A29" s="61">
        <v>27</v>
      </c>
      <c r="B29" s="61"/>
      <c r="C29" s="61"/>
      <c r="D29" s="61">
        <v>120</v>
      </c>
      <c r="E29" s="61"/>
      <c r="F29" s="62">
        <f t="shared" si="0"/>
        <v>0</v>
      </c>
      <c r="G29" s="61"/>
      <c r="H29" s="61"/>
      <c r="I29" s="61"/>
      <c r="J29" s="61"/>
      <c r="K29" s="61"/>
      <c r="L29" s="61"/>
      <c r="M29" s="61"/>
      <c r="N29" s="61">
        <f t="shared" si="1"/>
        <v>0</v>
      </c>
      <c r="O29" s="61" t="str">
        <f t="shared" si="2"/>
        <v/>
      </c>
      <c r="P29" s="61" t="str">
        <f t="shared" si="3"/>
        <v/>
      </c>
    </row>
    <row r="30" spans="1:16" x14ac:dyDescent="0.35">
      <c r="A30" s="61">
        <v>28</v>
      </c>
      <c r="B30" s="61"/>
      <c r="C30" s="61"/>
      <c r="D30" s="61">
        <v>120</v>
      </c>
      <c r="E30" s="61"/>
      <c r="F30" s="62">
        <f t="shared" si="0"/>
        <v>0</v>
      </c>
      <c r="G30" s="61"/>
      <c r="H30" s="61"/>
      <c r="I30" s="61"/>
      <c r="J30" s="61"/>
      <c r="K30" s="61"/>
      <c r="L30" s="61"/>
      <c r="M30" s="61"/>
      <c r="N30" s="61">
        <f t="shared" si="1"/>
        <v>0</v>
      </c>
      <c r="O30" s="61" t="str">
        <f t="shared" si="2"/>
        <v/>
      </c>
      <c r="P30" s="61" t="str">
        <f t="shared" si="3"/>
        <v/>
      </c>
    </row>
    <row r="31" spans="1:16" x14ac:dyDescent="0.35">
      <c r="A31" s="61">
        <v>29</v>
      </c>
      <c r="B31" s="61"/>
      <c r="C31" s="61"/>
      <c r="D31" s="61">
        <v>120</v>
      </c>
      <c r="E31" s="61"/>
      <c r="F31" s="62">
        <f t="shared" si="0"/>
        <v>0</v>
      </c>
      <c r="G31" s="61"/>
      <c r="H31" s="61"/>
      <c r="I31" s="61"/>
      <c r="J31" s="61"/>
      <c r="K31" s="61"/>
      <c r="L31" s="61"/>
      <c r="M31" s="61"/>
      <c r="N31" s="61">
        <f t="shared" si="1"/>
        <v>0</v>
      </c>
      <c r="O31" s="61" t="str">
        <f t="shared" si="2"/>
        <v/>
      </c>
      <c r="P31" s="61" t="str">
        <f t="shared" si="3"/>
        <v/>
      </c>
    </row>
    <row r="32" spans="1:16" x14ac:dyDescent="0.35">
      <c r="A32" s="61">
        <v>30</v>
      </c>
      <c r="B32" s="61"/>
      <c r="C32" s="61"/>
      <c r="D32" s="61">
        <v>120</v>
      </c>
      <c r="E32" s="61"/>
      <c r="F32" s="62">
        <f t="shared" si="0"/>
        <v>0</v>
      </c>
      <c r="G32" s="61"/>
      <c r="H32" s="61"/>
      <c r="I32" s="61"/>
      <c r="J32" s="61"/>
      <c r="K32" s="61"/>
      <c r="L32" s="61"/>
      <c r="M32" s="61"/>
      <c r="N32" s="61">
        <f t="shared" si="1"/>
        <v>0</v>
      </c>
      <c r="O32" s="61" t="str">
        <f t="shared" si="2"/>
        <v/>
      </c>
      <c r="P32" s="61" t="str">
        <f t="shared" si="3"/>
        <v/>
      </c>
    </row>
    <row r="33" spans="1:16" x14ac:dyDescent="0.35">
      <c r="A33" s="61">
        <v>31</v>
      </c>
      <c r="B33" s="61"/>
      <c r="C33" s="61"/>
      <c r="D33" s="61">
        <v>120</v>
      </c>
      <c r="E33" s="61"/>
      <c r="F33" s="62">
        <f t="shared" si="0"/>
        <v>0</v>
      </c>
      <c r="G33" s="61"/>
      <c r="H33" s="61"/>
      <c r="I33" s="61"/>
      <c r="J33" s="61"/>
      <c r="K33" s="61"/>
      <c r="L33" s="61"/>
      <c r="M33" s="61"/>
      <c r="N33" s="61">
        <f t="shared" si="1"/>
        <v>0</v>
      </c>
      <c r="O33" s="61" t="str">
        <f t="shared" si="2"/>
        <v/>
      </c>
      <c r="P33" s="61" t="str">
        <f t="shared" si="3"/>
        <v/>
      </c>
    </row>
    <row r="34" spans="1:16" x14ac:dyDescent="0.35">
      <c r="A34" s="61">
        <v>32</v>
      </c>
      <c r="B34" s="61"/>
      <c r="C34" s="61"/>
      <c r="D34" s="61">
        <v>120</v>
      </c>
      <c r="E34" s="61"/>
      <c r="F34" s="62">
        <f t="shared" si="0"/>
        <v>0</v>
      </c>
      <c r="G34" s="61"/>
      <c r="H34" s="61"/>
      <c r="I34" s="61"/>
      <c r="J34" s="61"/>
      <c r="K34" s="61"/>
      <c r="L34" s="61"/>
      <c r="M34" s="61"/>
      <c r="N34" s="61">
        <f t="shared" si="1"/>
        <v>0</v>
      </c>
      <c r="O34" s="61" t="str">
        <f t="shared" si="2"/>
        <v/>
      </c>
      <c r="P34" s="61" t="str">
        <f t="shared" si="3"/>
        <v/>
      </c>
    </row>
    <row r="35" spans="1:16" x14ac:dyDescent="0.35">
      <c r="A35" s="61">
        <v>33</v>
      </c>
      <c r="B35" s="61"/>
      <c r="C35" s="61"/>
      <c r="D35" s="61">
        <v>120</v>
      </c>
      <c r="E35" s="61"/>
      <c r="F35" s="62">
        <f t="shared" si="0"/>
        <v>0</v>
      </c>
      <c r="G35" s="61"/>
      <c r="H35" s="61"/>
      <c r="I35" s="61"/>
      <c r="J35" s="61"/>
      <c r="K35" s="61"/>
      <c r="L35" s="61"/>
      <c r="M35" s="61"/>
      <c r="N35" s="61">
        <f t="shared" si="1"/>
        <v>0</v>
      </c>
      <c r="O35" s="61" t="str">
        <f t="shared" si="2"/>
        <v/>
      </c>
      <c r="P35" s="61" t="str">
        <f t="shared" si="3"/>
        <v/>
      </c>
    </row>
    <row r="36" spans="1:16" x14ac:dyDescent="0.35">
      <c r="A36" s="61">
        <v>34</v>
      </c>
      <c r="B36" s="61"/>
      <c r="C36" s="61"/>
      <c r="D36" s="61">
        <v>120</v>
      </c>
      <c r="E36" s="61"/>
      <c r="F36" s="62">
        <f t="shared" si="0"/>
        <v>0</v>
      </c>
      <c r="G36" s="61"/>
      <c r="H36" s="61"/>
      <c r="I36" s="61"/>
      <c r="J36" s="61"/>
      <c r="K36" s="61"/>
      <c r="L36" s="61"/>
      <c r="M36" s="61"/>
      <c r="N36" s="61">
        <f t="shared" si="1"/>
        <v>0</v>
      </c>
      <c r="O36" s="61" t="str">
        <f t="shared" si="2"/>
        <v/>
      </c>
      <c r="P36" s="61" t="str">
        <f t="shared" si="3"/>
        <v/>
      </c>
    </row>
    <row r="37" spans="1:16" x14ac:dyDescent="0.35">
      <c r="A37" s="61">
        <v>35</v>
      </c>
      <c r="B37" s="61"/>
      <c r="C37" s="61"/>
      <c r="D37" s="61">
        <v>120</v>
      </c>
      <c r="E37" s="61"/>
      <c r="F37" s="62">
        <f t="shared" si="0"/>
        <v>0</v>
      </c>
      <c r="G37" s="61"/>
      <c r="H37" s="61"/>
      <c r="I37" s="61"/>
      <c r="J37" s="61"/>
      <c r="K37" s="61"/>
      <c r="L37" s="61"/>
      <c r="M37" s="61"/>
      <c r="N37" s="61">
        <f t="shared" si="1"/>
        <v>0</v>
      </c>
      <c r="O37" s="61" t="str">
        <f t="shared" si="2"/>
        <v/>
      </c>
      <c r="P37" s="61" t="str">
        <f t="shared" si="3"/>
        <v/>
      </c>
    </row>
    <row r="38" spans="1:16" x14ac:dyDescent="0.35">
      <c r="A38" s="61">
        <v>36</v>
      </c>
      <c r="B38" s="61"/>
      <c r="C38" s="61"/>
      <c r="D38" s="61">
        <v>120</v>
      </c>
      <c r="E38" s="61"/>
      <c r="F38" s="62">
        <f t="shared" si="0"/>
        <v>0</v>
      </c>
      <c r="G38" s="61"/>
      <c r="H38" s="61"/>
      <c r="I38" s="61"/>
      <c r="J38" s="61"/>
      <c r="K38" s="61"/>
      <c r="L38" s="61"/>
      <c r="M38" s="61"/>
      <c r="N38" s="61">
        <f t="shared" si="1"/>
        <v>0</v>
      </c>
      <c r="O38" s="61" t="str">
        <f t="shared" si="2"/>
        <v/>
      </c>
      <c r="P38" s="61" t="str">
        <f t="shared" si="3"/>
        <v/>
      </c>
    </row>
    <row r="39" spans="1:16" x14ac:dyDescent="0.35">
      <c r="A39" s="61">
        <v>37</v>
      </c>
      <c r="B39" s="61"/>
      <c r="C39" s="61"/>
      <c r="D39" s="61">
        <v>120</v>
      </c>
      <c r="E39" s="61"/>
      <c r="F39" s="62">
        <f t="shared" si="0"/>
        <v>0</v>
      </c>
      <c r="G39" s="61"/>
      <c r="H39" s="61"/>
      <c r="I39" s="61"/>
      <c r="J39" s="61"/>
      <c r="K39" s="61"/>
      <c r="L39" s="61"/>
      <c r="M39" s="61"/>
      <c r="N39" s="61">
        <f t="shared" si="1"/>
        <v>0</v>
      </c>
      <c r="O39" s="61" t="str">
        <f t="shared" si="2"/>
        <v/>
      </c>
      <c r="P39" s="61" t="str">
        <f t="shared" si="3"/>
        <v/>
      </c>
    </row>
    <row r="40" spans="1:16" x14ac:dyDescent="0.35">
      <c r="A40" s="61">
        <v>38</v>
      </c>
      <c r="B40" s="61"/>
      <c r="C40" s="61"/>
      <c r="D40" s="61">
        <v>120</v>
      </c>
      <c r="E40" s="61"/>
      <c r="F40" s="62">
        <f t="shared" si="0"/>
        <v>0</v>
      </c>
      <c r="G40" s="61"/>
      <c r="H40" s="61"/>
      <c r="I40" s="61"/>
      <c r="J40" s="61"/>
      <c r="K40" s="61"/>
      <c r="L40" s="61"/>
      <c r="M40" s="61"/>
      <c r="N40" s="61">
        <f t="shared" si="1"/>
        <v>0</v>
      </c>
      <c r="O40" s="61" t="str">
        <f t="shared" si="2"/>
        <v/>
      </c>
      <c r="P40" s="61" t="str">
        <f t="shared" si="3"/>
        <v/>
      </c>
    </row>
    <row r="41" spans="1:16" x14ac:dyDescent="0.35">
      <c r="A41" s="61">
        <v>39</v>
      </c>
      <c r="B41" s="61"/>
      <c r="C41" s="61"/>
      <c r="D41" s="61">
        <v>120</v>
      </c>
      <c r="E41" s="61"/>
      <c r="F41" s="62">
        <f t="shared" si="0"/>
        <v>0</v>
      </c>
      <c r="G41" s="61"/>
      <c r="H41" s="61"/>
      <c r="I41" s="61"/>
      <c r="J41" s="61"/>
      <c r="K41" s="61"/>
      <c r="L41" s="61"/>
      <c r="M41" s="61"/>
      <c r="N41" s="61">
        <f t="shared" si="1"/>
        <v>0</v>
      </c>
      <c r="O41" s="61" t="str">
        <f t="shared" si="2"/>
        <v/>
      </c>
      <c r="P41" s="61" t="str">
        <f t="shared" si="3"/>
        <v/>
      </c>
    </row>
    <row r="42" spans="1:16" x14ac:dyDescent="0.35">
      <c r="A42" s="61">
        <v>40</v>
      </c>
      <c r="B42" s="61"/>
      <c r="C42" s="61"/>
      <c r="D42" s="61">
        <v>120</v>
      </c>
      <c r="E42" s="61"/>
      <c r="F42" s="62">
        <f t="shared" si="0"/>
        <v>0</v>
      </c>
      <c r="G42" s="61"/>
      <c r="H42" s="61"/>
      <c r="I42" s="61"/>
      <c r="J42" s="61"/>
      <c r="K42" s="61"/>
      <c r="L42" s="61"/>
      <c r="M42" s="61"/>
      <c r="N42" s="61">
        <f t="shared" si="1"/>
        <v>0</v>
      </c>
      <c r="O42" s="61" t="str">
        <f t="shared" si="2"/>
        <v/>
      </c>
      <c r="P42" s="61" t="str">
        <f t="shared" si="3"/>
        <v/>
      </c>
    </row>
    <row r="43" spans="1:16" x14ac:dyDescent="0.35">
      <c r="A43" s="61">
        <v>41</v>
      </c>
      <c r="B43" s="61"/>
      <c r="C43" s="61"/>
      <c r="D43" s="61">
        <v>120</v>
      </c>
      <c r="E43" s="61"/>
      <c r="F43" s="62">
        <f t="shared" si="0"/>
        <v>0</v>
      </c>
      <c r="G43" s="61"/>
      <c r="H43" s="61"/>
      <c r="I43" s="61"/>
      <c r="J43" s="61"/>
      <c r="K43" s="61"/>
      <c r="L43" s="61"/>
      <c r="M43" s="61"/>
      <c r="N43" s="61">
        <f t="shared" si="1"/>
        <v>0</v>
      </c>
      <c r="O43" s="61" t="str">
        <f t="shared" si="2"/>
        <v/>
      </c>
      <c r="P43" s="61" t="str">
        <f t="shared" si="3"/>
        <v/>
      </c>
    </row>
    <row r="44" spans="1:16" x14ac:dyDescent="0.35">
      <c r="A44" s="61">
        <v>42</v>
      </c>
      <c r="B44" s="61"/>
      <c r="C44" s="61"/>
      <c r="D44" s="61">
        <v>120</v>
      </c>
      <c r="E44" s="61"/>
      <c r="F44" s="62">
        <f t="shared" si="0"/>
        <v>0</v>
      </c>
      <c r="G44" s="61"/>
      <c r="H44" s="61"/>
      <c r="I44" s="61"/>
      <c r="J44" s="61"/>
      <c r="K44" s="61"/>
      <c r="L44" s="61"/>
      <c r="M44" s="61"/>
      <c r="N44" s="61">
        <f t="shared" si="1"/>
        <v>0</v>
      </c>
      <c r="O44" s="61" t="str">
        <f t="shared" si="2"/>
        <v/>
      </c>
      <c r="P44" s="61" t="str">
        <f t="shared" si="3"/>
        <v/>
      </c>
    </row>
    <row r="45" spans="1:16" x14ac:dyDescent="0.35">
      <c r="A45" s="61">
        <v>43</v>
      </c>
      <c r="B45" s="61"/>
      <c r="C45" s="61"/>
      <c r="D45" s="61">
        <v>120</v>
      </c>
      <c r="E45" s="61"/>
      <c r="F45" s="62">
        <f t="shared" si="0"/>
        <v>0</v>
      </c>
      <c r="G45" s="61"/>
      <c r="H45" s="61"/>
      <c r="I45" s="61"/>
      <c r="J45" s="61"/>
      <c r="K45" s="61"/>
      <c r="L45" s="61"/>
      <c r="M45" s="61"/>
      <c r="N45" s="61">
        <f t="shared" si="1"/>
        <v>0</v>
      </c>
      <c r="O45" s="61" t="str">
        <f t="shared" si="2"/>
        <v/>
      </c>
      <c r="P45" s="61" t="str">
        <f t="shared" si="3"/>
        <v/>
      </c>
    </row>
    <row r="46" spans="1:16" x14ac:dyDescent="0.35">
      <c r="A46" s="61">
        <v>44</v>
      </c>
      <c r="B46" s="61"/>
      <c r="C46" s="61"/>
      <c r="D46" s="61">
        <v>120</v>
      </c>
      <c r="E46" s="61"/>
      <c r="F46" s="62">
        <f t="shared" si="0"/>
        <v>0</v>
      </c>
      <c r="G46" s="61"/>
      <c r="H46" s="61"/>
      <c r="I46" s="61"/>
      <c r="J46" s="61"/>
      <c r="K46" s="61"/>
      <c r="L46" s="61"/>
      <c r="M46" s="61"/>
      <c r="N46" s="61">
        <f t="shared" si="1"/>
        <v>0</v>
      </c>
      <c r="O46" s="61" t="str">
        <f t="shared" si="2"/>
        <v/>
      </c>
      <c r="P46" s="61" t="str">
        <f t="shared" si="3"/>
        <v/>
      </c>
    </row>
    <row r="47" spans="1:16" x14ac:dyDescent="0.35">
      <c r="A47" s="61">
        <v>45</v>
      </c>
      <c r="B47" s="61"/>
      <c r="C47" s="61"/>
      <c r="D47" s="61">
        <v>120</v>
      </c>
      <c r="E47" s="61"/>
      <c r="F47" s="62">
        <f t="shared" si="0"/>
        <v>0</v>
      </c>
      <c r="G47" s="61"/>
      <c r="H47" s="61"/>
      <c r="I47" s="61"/>
      <c r="J47" s="61"/>
      <c r="K47" s="61"/>
      <c r="L47" s="61"/>
      <c r="M47" s="61"/>
      <c r="N47" s="61">
        <f t="shared" si="1"/>
        <v>0</v>
      </c>
      <c r="O47" s="61" t="str">
        <f t="shared" si="2"/>
        <v/>
      </c>
      <c r="P47" s="61" t="str">
        <f t="shared" si="3"/>
        <v/>
      </c>
    </row>
    <row r="48" spans="1:16" x14ac:dyDescent="0.35">
      <c r="A48" s="61">
        <v>46</v>
      </c>
      <c r="B48" s="61"/>
      <c r="C48" s="61"/>
      <c r="D48" s="61">
        <v>120</v>
      </c>
      <c r="E48" s="61"/>
      <c r="F48" s="62">
        <f t="shared" si="0"/>
        <v>0</v>
      </c>
      <c r="G48" s="61"/>
      <c r="H48" s="61"/>
      <c r="I48" s="61"/>
      <c r="J48" s="61"/>
      <c r="K48" s="61"/>
      <c r="L48" s="61"/>
      <c r="M48" s="61"/>
      <c r="N48" s="61">
        <f t="shared" si="1"/>
        <v>0</v>
      </c>
      <c r="O48" s="61" t="str">
        <f t="shared" si="2"/>
        <v/>
      </c>
      <c r="P48" s="61" t="str">
        <f t="shared" si="3"/>
        <v/>
      </c>
    </row>
    <row r="49" spans="1:16" x14ac:dyDescent="0.35">
      <c r="A49" s="61">
        <v>47</v>
      </c>
      <c r="B49" s="61"/>
      <c r="C49" s="61"/>
      <c r="D49" s="61">
        <v>120</v>
      </c>
      <c r="E49" s="61"/>
      <c r="F49" s="62">
        <f t="shared" si="0"/>
        <v>0</v>
      </c>
      <c r="G49" s="61"/>
      <c r="H49" s="61"/>
      <c r="I49" s="61"/>
      <c r="J49" s="61"/>
      <c r="K49" s="61"/>
      <c r="L49" s="61"/>
      <c r="M49" s="61"/>
      <c r="N49" s="61">
        <f t="shared" si="1"/>
        <v>0</v>
      </c>
      <c r="O49" s="61" t="str">
        <f t="shared" si="2"/>
        <v/>
      </c>
      <c r="P49" s="61" t="str">
        <f t="shared" si="3"/>
        <v/>
      </c>
    </row>
    <row r="50" spans="1:16" x14ac:dyDescent="0.35">
      <c r="A50" s="61">
        <v>48</v>
      </c>
      <c r="B50" s="61"/>
      <c r="C50" s="61"/>
      <c r="D50" s="61">
        <v>120</v>
      </c>
      <c r="E50" s="61"/>
      <c r="F50" s="62">
        <f t="shared" si="0"/>
        <v>0</v>
      </c>
      <c r="G50" s="61"/>
      <c r="H50" s="61"/>
      <c r="I50" s="61"/>
      <c r="J50" s="61"/>
      <c r="K50" s="61"/>
      <c r="L50" s="61"/>
      <c r="M50" s="61"/>
      <c r="N50" s="61">
        <f t="shared" si="1"/>
        <v>0</v>
      </c>
      <c r="O50" s="61" t="str">
        <f t="shared" si="2"/>
        <v/>
      </c>
      <c r="P50" s="61" t="str">
        <f t="shared" si="3"/>
        <v/>
      </c>
    </row>
    <row r="51" spans="1:16" x14ac:dyDescent="0.35">
      <c r="A51" s="61">
        <v>49</v>
      </c>
      <c r="B51" s="61"/>
      <c r="C51" s="61"/>
      <c r="D51" s="61">
        <v>120</v>
      </c>
      <c r="E51" s="61"/>
      <c r="F51" s="62">
        <f t="shared" si="0"/>
        <v>0</v>
      </c>
      <c r="G51" s="61"/>
      <c r="H51" s="61"/>
      <c r="I51" s="61"/>
      <c r="J51" s="61"/>
      <c r="K51" s="61"/>
      <c r="L51" s="61"/>
      <c r="M51" s="61"/>
      <c r="N51" s="61">
        <f t="shared" si="1"/>
        <v>0</v>
      </c>
      <c r="O51" s="61" t="str">
        <f t="shared" si="2"/>
        <v/>
      </c>
      <c r="P51" s="61" t="str">
        <f t="shared" si="3"/>
        <v/>
      </c>
    </row>
    <row r="52" spans="1:16" x14ac:dyDescent="0.35">
      <c r="A52" s="61">
        <v>50</v>
      </c>
      <c r="B52" s="61"/>
      <c r="C52" s="61"/>
      <c r="D52" s="61">
        <v>120</v>
      </c>
      <c r="E52" s="61"/>
      <c r="F52" s="62">
        <f t="shared" si="0"/>
        <v>0</v>
      </c>
      <c r="G52" s="61"/>
      <c r="H52" s="61"/>
      <c r="I52" s="61"/>
      <c r="J52" s="61"/>
      <c r="K52" s="61"/>
      <c r="L52" s="61"/>
      <c r="M52" s="61"/>
      <c r="N52" s="61">
        <f t="shared" si="1"/>
        <v>0</v>
      </c>
      <c r="O52" s="61" t="str">
        <f t="shared" si="2"/>
        <v/>
      </c>
      <c r="P52" s="61" t="str">
        <f t="shared" si="3"/>
        <v/>
      </c>
    </row>
    <row r="53" spans="1:16" x14ac:dyDescent="0.35">
      <c r="A53" s="61">
        <v>51</v>
      </c>
      <c r="B53" s="61"/>
      <c r="C53" s="61"/>
      <c r="D53" s="61">
        <v>120</v>
      </c>
      <c r="E53" s="61"/>
      <c r="F53" s="62">
        <f t="shared" si="0"/>
        <v>0</v>
      </c>
      <c r="G53" s="61"/>
      <c r="H53" s="61"/>
      <c r="I53" s="61"/>
      <c r="J53" s="61"/>
      <c r="K53" s="61"/>
      <c r="L53" s="61"/>
      <c r="M53" s="61"/>
      <c r="N53" s="61">
        <f t="shared" si="1"/>
        <v>0</v>
      </c>
      <c r="O53" s="61" t="str">
        <f t="shared" si="2"/>
        <v/>
      </c>
      <c r="P53" s="61" t="str">
        <f t="shared" si="3"/>
        <v/>
      </c>
    </row>
    <row r="54" spans="1:16" x14ac:dyDescent="0.35">
      <c r="A54" s="61">
        <v>52</v>
      </c>
      <c r="B54" s="61"/>
      <c r="C54" s="61"/>
      <c r="D54" s="61">
        <v>120</v>
      </c>
      <c r="E54" s="61"/>
      <c r="F54" s="62">
        <f t="shared" si="0"/>
        <v>0</v>
      </c>
      <c r="G54" s="61"/>
      <c r="H54" s="61"/>
      <c r="I54" s="61"/>
      <c r="J54" s="61"/>
      <c r="K54" s="61"/>
      <c r="L54" s="61"/>
      <c r="M54" s="61"/>
      <c r="N54" s="61">
        <f t="shared" si="1"/>
        <v>0</v>
      </c>
      <c r="O54" s="61" t="str">
        <f t="shared" si="2"/>
        <v/>
      </c>
      <c r="P54" s="61" t="str">
        <f t="shared" si="3"/>
        <v/>
      </c>
    </row>
    <row r="55" spans="1:16" x14ac:dyDescent="0.35">
      <c r="A55" s="61">
        <v>53</v>
      </c>
      <c r="B55" s="61"/>
      <c r="C55" s="61"/>
      <c r="D55" s="61">
        <v>120</v>
      </c>
      <c r="E55" s="61"/>
      <c r="F55" s="62">
        <f t="shared" si="0"/>
        <v>0</v>
      </c>
      <c r="G55" s="61"/>
      <c r="H55" s="61"/>
      <c r="I55" s="61"/>
      <c r="J55" s="61"/>
      <c r="K55" s="61"/>
      <c r="L55" s="61"/>
      <c r="M55" s="61"/>
      <c r="N55" s="61">
        <f t="shared" si="1"/>
        <v>0</v>
      </c>
      <c r="O55" s="61" t="str">
        <f t="shared" si="2"/>
        <v/>
      </c>
      <c r="P55" s="61" t="str">
        <f t="shared" si="3"/>
        <v/>
      </c>
    </row>
    <row r="56" spans="1:16" x14ac:dyDescent="0.35">
      <c r="A56" s="61">
        <v>54</v>
      </c>
      <c r="B56" s="61"/>
      <c r="C56" s="61"/>
      <c r="D56" s="61">
        <v>120</v>
      </c>
      <c r="E56" s="61"/>
      <c r="F56" s="62">
        <f t="shared" si="0"/>
        <v>0</v>
      </c>
      <c r="G56" s="61"/>
      <c r="H56" s="61"/>
      <c r="I56" s="61"/>
      <c r="J56" s="61"/>
      <c r="K56" s="61"/>
      <c r="L56" s="61"/>
      <c r="M56" s="61"/>
      <c r="N56" s="61">
        <f t="shared" si="1"/>
        <v>0</v>
      </c>
      <c r="O56" s="61" t="str">
        <f t="shared" si="2"/>
        <v/>
      </c>
      <c r="P56" s="61" t="str">
        <f t="shared" si="3"/>
        <v/>
      </c>
    </row>
    <row r="57" spans="1:16" x14ac:dyDescent="0.35">
      <c r="A57" s="61">
        <v>55</v>
      </c>
      <c r="B57" s="61"/>
      <c r="C57" s="61"/>
      <c r="D57" s="61">
        <v>120</v>
      </c>
      <c r="E57" s="61"/>
      <c r="F57" s="62">
        <f t="shared" si="0"/>
        <v>0</v>
      </c>
      <c r="G57" s="61"/>
      <c r="H57" s="61"/>
      <c r="I57" s="61"/>
      <c r="J57" s="61"/>
      <c r="K57" s="61"/>
      <c r="L57" s="61"/>
      <c r="M57" s="61"/>
      <c r="N57" s="61">
        <f t="shared" si="1"/>
        <v>0</v>
      </c>
      <c r="O57" s="61" t="str">
        <f t="shared" si="2"/>
        <v/>
      </c>
      <c r="P57" s="61" t="str">
        <f t="shared" si="3"/>
        <v/>
      </c>
    </row>
    <row r="58" spans="1:16" x14ac:dyDescent="0.35">
      <c r="A58" s="61">
        <v>56</v>
      </c>
      <c r="B58" s="61"/>
      <c r="C58" s="61"/>
      <c r="D58" s="61">
        <v>120</v>
      </c>
      <c r="E58" s="61"/>
      <c r="F58" s="62">
        <f t="shared" si="0"/>
        <v>0</v>
      </c>
      <c r="G58" s="61"/>
      <c r="H58" s="61"/>
      <c r="I58" s="61"/>
      <c r="J58" s="61"/>
      <c r="K58" s="61"/>
      <c r="L58" s="61"/>
      <c r="M58" s="61"/>
      <c r="N58" s="61">
        <f t="shared" si="1"/>
        <v>0</v>
      </c>
      <c r="O58" s="61" t="str">
        <f t="shared" si="2"/>
        <v/>
      </c>
      <c r="P58" s="61" t="str">
        <f t="shared" si="3"/>
        <v/>
      </c>
    </row>
    <row r="59" spans="1:16" x14ac:dyDescent="0.35">
      <c r="A59" s="61">
        <v>57</v>
      </c>
      <c r="B59" s="61"/>
      <c r="C59" s="61"/>
      <c r="D59" s="61">
        <v>120</v>
      </c>
      <c r="E59" s="61"/>
      <c r="F59" s="62">
        <f t="shared" si="0"/>
        <v>0</v>
      </c>
      <c r="G59" s="61"/>
      <c r="H59" s="61"/>
      <c r="I59" s="61"/>
      <c r="J59" s="61"/>
      <c r="K59" s="61"/>
      <c r="L59" s="61"/>
      <c r="M59" s="61"/>
      <c r="N59" s="61">
        <f t="shared" si="1"/>
        <v>0</v>
      </c>
      <c r="O59" s="61" t="str">
        <f t="shared" si="2"/>
        <v/>
      </c>
      <c r="P59" s="61" t="str">
        <f t="shared" si="3"/>
        <v/>
      </c>
    </row>
    <row r="60" spans="1:16" x14ac:dyDescent="0.35">
      <c r="A60" s="61">
        <v>58</v>
      </c>
      <c r="B60" s="61"/>
      <c r="C60" s="61"/>
      <c r="D60" s="61">
        <v>120</v>
      </c>
      <c r="E60" s="61"/>
      <c r="F60" s="62">
        <f t="shared" si="0"/>
        <v>0</v>
      </c>
      <c r="G60" s="61"/>
      <c r="H60" s="61"/>
      <c r="I60" s="61"/>
      <c r="J60" s="61"/>
      <c r="K60" s="61"/>
      <c r="L60" s="61"/>
      <c r="M60" s="61"/>
      <c r="N60" s="61">
        <f t="shared" si="1"/>
        <v>0</v>
      </c>
      <c r="O60" s="61" t="str">
        <f t="shared" si="2"/>
        <v/>
      </c>
      <c r="P60" s="61" t="str">
        <f t="shared" si="3"/>
        <v/>
      </c>
    </row>
    <row r="61" spans="1:16" x14ac:dyDescent="0.35">
      <c r="A61" s="61">
        <v>59</v>
      </c>
      <c r="B61" s="61"/>
      <c r="C61" s="61"/>
      <c r="D61" s="61">
        <v>120</v>
      </c>
      <c r="E61" s="61"/>
      <c r="F61" s="62">
        <f t="shared" si="0"/>
        <v>0</v>
      </c>
      <c r="G61" s="61"/>
      <c r="H61" s="61"/>
      <c r="I61" s="61"/>
      <c r="J61" s="61"/>
      <c r="K61" s="61"/>
      <c r="L61" s="61"/>
      <c r="M61" s="61"/>
      <c r="N61" s="61">
        <f t="shared" si="1"/>
        <v>0</v>
      </c>
      <c r="O61" s="61" t="str">
        <f t="shared" si="2"/>
        <v/>
      </c>
      <c r="P61" s="61" t="str">
        <f t="shared" si="3"/>
        <v/>
      </c>
    </row>
    <row r="62" spans="1:16" x14ac:dyDescent="0.35">
      <c r="A62" s="61">
        <v>60</v>
      </c>
      <c r="B62" s="61"/>
      <c r="C62" s="61"/>
      <c r="D62" s="61">
        <v>120</v>
      </c>
      <c r="E62" s="61"/>
      <c r="F62" s="62">
        <f t="shared" si="0"/>
        <v>0</v>
      </c>
      <c r="G62" s="61"/>
      <c r="H62" s="61"/>
      <c r="I62" s="61"/>
      <c r="J62" s="61"/>
      <c r="K62" s="61"/>
      <c r="L62" s="61"/>
      <c r="M62" s="61"/>
      <c r="N62" s="61">
        <f t="shared" si="1"/>
        <v>0</v>
      </c>
      <c r="O62" s="61" t="str">
        <f t="shared" si="2"/>
        <v/>
      </c>
      <c r="P62" s="61" t="str">
        <f t="shared" si="3"/>
        <v/>
      </c>
    </row>
    <row r="63" spans="1:16" x14ac:dyDescent="0.35">
      <c r="A63" s="61">
        <v>61</v>
      </c>
      <c r="B63" s="61"/>
      <c r="C63" s="61"/>
      <c r="D63" s="61">
        <v>120</v>
      </c>
      <c r="E63" s="61"/>
      <c r="F63" s="62">
        <f t="shared" si="0"/>
        <v>0</v>
      </c>
      <c r="G63" s="61"/>
      <c r="H63" s="61"/>
      <c r="I63" s="61"/>
      <c r="J63" s="61"/>
      <c r="K63" s="61"/>
      <c r="L63" s="61"/>
      <c r="M63" s="61"/>
      <c r="N63" s="61">
        <f t="shared" si="1"/>
        <v>0</v>
      </c>
      <c r="O63" s="61" t="str">
        <f t="shared" si="2"/>
        <v/>
      </c>
      <c r="P63" s="61" t="str">
        <f t="shared" si="3"/>
        <v/>
      </c>
    </row>
    <row r="64" spans="1:16" x14ac:dyDescent="0.35">
      <c r="A64" s="61">
        <v>62</v>
      </c>
      <c r="B64" s="61"/>
      <c r="C64" s="61"/>
      <c r="D64" s="61">
        <v>120</v>
      </c>
      <c r="E64" s="61"/>
      <c r="F64" s="62">
        <f t="shared" si="0"/>
        <v>0</v>
      </c>
      <c r="G64" s="61"/>
      <c r="H64" s="61"/>
      <c r="I64" s="61"/>
      <c r="J64" s="61"/>
      <c r="K64" s="61"/>
      <c r="L64" s="61"/>
      <c r="M64" s="61"/>
      <c r="N64" s="61">
        <f t="shared" si="1"/>
        <v>0</v>
      </c>
      <c r="O64" s="61" t="str">
        <f t="shared" si="2"/>
        <v/>
      </c>
      <c r="P64" s="61" t="str">
        <f t="shared" si="3"/>
        <v/>
      </c>
    </row>
    <row r="65" spans="1:16" x14ac:dyDescent="0.35">
      <c r="A65" s="61">
        <v>63</v>
      </c>
      <c r="B65" s="61"/>
      <c r="C65" s="61"/>
      <c r="D65" s="61">
        <v>120</v>
      </c>
      <c r="E65" s="61"/>
      <c r="F65" s="62">
        <f t="shared" si="0"/>
        <v>0</v>
      </c>
      <c r="G65" s="61"/>
      <c r="H65" s="61"/>
      <c r="I65" s="61"/>
      <c r="J65" s="61"/>
      <c r="K65" s="61"/>
      <c r="L65" s="61"/>
      <c r="M65" s="61"/>
      <c r="N65" s="61">
        <f t="shared" si="1"/>
        <v>0</v>
      </c>
      <c r="O65" s="61" t="str">
        <f t="shared" si="2"/>
        <v/>
      </c>
      <c r="P65" s="61" t="str">
        <f t="shared" si="3"/>
        <v/>
      </c>
    </row>
    <row r="66" spans="1:16" x14ac:dyDescent="0.35">
      <c r="A66" s="61">
        <v>64</v>
      </c>
      <c r="B66" s="61"/>
      <c r="C66" s="61"/>
      <c r="D66" s="61">
        <v>120</v>
      </c>
      <c r="E66" s="61"/>
      <c r="F66" s="62">
        <f t="shared" si="0"/>
        <v>0</v>
      </c>
      <c r="G66" s="61"/>
      <c r="H66" s="61"/>
      <c r="I66" s="61"/>
      <c r="J66" s="61"/>
      <c r="K66" s="61"/>
      <c r="L66" s="61"/>
      <c r="M66" s="61"/>
      <c r="N66" s="61">
        <f t="shared" si="1"/>
        <v>0</v>
      </c>
      <c r="O66" s="61" t="str">
        <f t="shared" si="2"/>
        <v/>
      </c>
      <c r="P66" s="61" t="str">
        <f t="shared" si="3"/>
        <v/>
      </c>
    </row>
    <row r="67" spans="1:16" x14ac:dyDescent="0.35">
      <c r="A67" s="61">
        <v>65</v>
      </c>
      <c r="B67" s="61"/>
      <c r="C67" s="61"/>
      <c r="D67" s="61">
        <v>120</v>
      </c>
      <c r="E67" s="61"/>
      <c r="F67" s="62">
        <f t="shared" si="0"/>
        <v>0</v>
      </c>
      <c r="G67" s="61"/>
      <c r="H67" s="61"/>
      <c r="I67" s="61"/>
      <c r="J67" s="61"/>
      <c r="K67" s="61"/>
      <c r="L67" s="61"/>
      <c r="M67" s="61"/>
      <c r="N67" s="61">
        <f t="shared" si="1"/>
        <v>0</v>
      </c>
      <c r="O67" s="61" t="str">
        <f t="shared" si="2"/>
        <v/>
      </c>
      <c r="P67" s="61" t="str">
        <f t="shared" si="3"/>
        <v/>
      </c>
    </row>
    <row r="68" spans="1:16" x14ac:dyDescent="0.35">
      <c r="A68" s="61">
        <v>66</v>
      </c>
      <c r="B68" s="61"/>
      <c r="C68" s="61"/>
      <c r="D68" s="61">
        <v>120</v>
      </c>
      <c r="E68" s="61"/>
      <c r="F68" s="62">
        <f t="shared" ref="F68:F102" si="4">E68/D68</f>
        <v>0</v>
      </c>
      <c r="G68" s="61"/>
      <c r="H68" s="61"/>
      <c r="I68" s="61"/>
      <c r="J68" s="61"/>
      <c r="K68" s="61"/>
      <c r="L68" s="61"/>
      <c r="M68" s="61"/>
      <c r="N68" s="61">
        <f t="shared" ref="N68:N103" si="5">SUM(G68:M68)</f>
        <v>0</v>
      </c>
      <c r="O68" s="61" t="str">
        <f t="shared" ref="O68:O102" si="6">IF(COUNTA(G68:M68)=0,"",IF(MIN(G68:M68)&lt;35,"Fail","Pass"))</f>
        <v/>
      </c>
      <c r="P68" s="61" t="str">
        <f t="shared" ref="P68:P102" si="7">IF(O68&lt;&gt;"Pass","",COUNTIFS($O$3:$O$102,"Pass",$N$3:$N$102,"&gt;"&amp;N68)+1)</f>
        <v/>
      </c>
    </row>
    <row r="69" spans="1:16" x14ac:dyDescent="0.35">
      <c r="A69" s="61">
        <v>67</v>
      </c>
      <c r="B69" s="61"/>
      <c r="C69" s="61"/>
      <c r="D69" s="61">
        <v>120</v>
      </c>
      <c r="E69" s="61"/>
      <c r="F69" s="62">
        <f t="shared" si="4"/>
        <v>0</v>
      </c>
      <c r="G69" s="61"/>
      <c r="H69" s="61"/>
      <c r="I69" s="61"/>
      <c r="J69" s="61"/>
      <c r="K69" s="61"/>
      <c r="L69" s="61"/>
      <c r="M69" s="61"/>
      <c r="N69" s="61">
        <f t="shared" si="5"/>
        <v>0</v>
      </c>
      <c r="O69" s="61" t="str">
        <f t="shared" si="6"/>
        <v/>
      </c>
      <c r="P69" s="61" t="str">
        <f t="shared" si="7"/>
        <v/>
      </c>
    </row>
    <row r="70" spans="1:16" x14ac:dyDescent="0.35">
      <c r="A70" s="61">
        <v>68</v>
      </c>
      <c r="B70" s="61"/>
      <c r="C70" s="61"/>
      <c r="D70" s="61">
        <v>120</v>
      </c>
      <c r="E70" s="61"/>
      <c r="F70" s="62">
        <f t="shared" si="4"/>
        <v>0</v>
      </c>
      <c r="G70" s="61"/>
      <c r="H70" s="61"/>
      <c r="I70" s="61"/>
      <c r="J70" s="61"/>
      <c r="K70" s="61"/>
      <c r="L70" s="61"/>
      <c r="M70" s="61"/>
      <c r="N70" s="61">
        <f t="shared" si="5"/>
        <v>0</v>
      </c>
      <c r="O70" s="61" t="str">
        <f t="shared" si="6"/>
        <v/>
      </c>
      <c r="P70" s="61" t="str">
        <f t="shared" si="7"/>
        <v/>
      </c>
    </row>
    <row r="71" spans="1:16" x14ac:dyDescent="0.35">
      <c r="A71" s="61">
        <v>69</v>
      </c>
      <c r="B71" s="61"/>
      <c r="C71" s="61"/>
      <c r="D71" s="61">
        <v>120</v>
      </c>
      <c r="E71" s="61"/>
      <c r="F71" s="62">
        <f t="shared" si="4"/>
        <v>0</v>
      </c>
      <c r="G71" s="61"/>
      <c r="H71" s="61"/>
      <c r="I71" s="61"/>
      <c r="J71" s="61"/>
      <c r="K71" s="61"/>
      <c r="L71" s="61"/>
      <c r="M71" s="61"/>
      <c r="N71" s="61">
        <f t="shared" si="5"/>
        <v>0</v>
      </c>
      <c r="O71" s="61" t="str">
        <f t="shared" si="6"/>
        <v/>
      </c>
      <c r="P71" s="61" t="str">
        <f t="shared" si="7"/>
        <v/>
      </c>
    </row>
    <row r="72" spans="1:16" x14ac:dyDescent="0.35">
      <c r="A72" s="61">
        <v>70</v>
      </c>
      <c r="B72" s="61"/>
      <c r="C72" s="61"/>
      <c r="D72" s="61">
        <v>120</v>
      </c>
      <c r="E72" s="61"/>
      <c r="F72" s="62">
        <f t="shared" si="4"/>
        <v>0</v>
      </c>
      <c r="G72" s="61"/>
      <c r="H72" s="61"/>
      <c r="I72" s="61"/>
      <c r="J72" s="61"/>
      <c r="K72" s="61"/>
      <c r="L72" s="61"/>
      <c r="M72" s="61"/>
      <c r="N72" s="61">
        <f t="shared" si="5"/>
        <v>0</v>
      </c>
      <c r="O72" s="61" t="str">
        <f t="shared" si="6"/>
        <v/>
      </c>
      <c r="P72" s="61" t="str">
        <f t="shared" si="7"/>
        <v/>
      </c>
    </row>
    <row r="73" spans="1:16" x14ac:dyDescent="0.35">
      <c r="A73" s="61">
        <v>71</v>
      </c>
      <c r="B73" s="61"/>
      <c r="C73" s="61"/>
      <c r="D73" s="61">
        <v>120</v>
      </c>
      <c r="E73" s="61"/>
      <c r="F73" s="62">
        <f t="shared" si="4"/>
        <v>0</v>
      </c>
      <c r="G73" s="61"/>
      <c r="H73" s="61"/>
      <c r="I73" s="61"/>
      <c r="J73" s="61"/>
      <c r="K73" s="61"/>
      <c r="L73" s="61"/>
      <c r="M73" s="61"/>
      <c r="N73" s="61">
        <f t="shared" si="5"/>
        <v>0</v>
      </c>
      <c r="O73" s="61" t="str">
        <f t="shared" si="6"/>
        <v/>
      </c>
      <c r="P73" s="61" t="str">
        <f t="shared" si="7"/>
        <v/>
      </c>
    </row>
    <row r="74" spans="1:16" x14ac:dyDescent="0.35">
      <c r="A74" s="61">
        <v>72</v>
      </c>
      <c r="B74" s="61"/>
      <c r="C74" s="61"/>
      <c r="D74" s="61">
        <v>120</v>
      </c>
      <c r="E74" s="61"/>
      <c r="F74" s="62">
        <f t="shared" si="4"/>
        <v>0</v>
      </c>
      <c r="G74" s="61"/>
      <c r="H74" s="61"/>
      <c r="I74" s="61"/>
      <c r="J74" s="61"/>
      <c r="K74" s="61"/>
      <c r="L74" s="61"/>
      <c r="M74" s="61"/>
      <c r="N74" s="61">
        <f t="shared" si="5"/>
        <v>0</v>
      </c>
      <c r="O74" s="61" t="str">
        <f t="shared" si="6"/>
        <v/>
      </c>
      <c r="P74" s="61" t="str">
        <f t="shared" si="7"/>
        <v/>
      </c>
    </row>
    <row r="75" spans="1:16" x14ac:dyDescent="0.35">
      <c r="A75" s="61">
        <v>73</v>
      </c>
      <c r="B75" s="61"/>
      <c r="C75" s="61"/>
      <c r="D75" s="61">
        <v>120</v>
      </c>
      <c r="E75" s="61"/>
      <c r="F75" s="62">
        <f t="shared" si="4"/>
        <v>0</v>
      </c>
      <c r="G75" s="61"/>
      <c r="H75" s="61"/>
      <c r="I75" s="61"/>
      <c r="J75" s="61"/>
      <c r="K75" s="61"/>
      <c r="L75" s="61"/>
      <c r="M75" s="61"/>
      <c r="N75" s="61">
        <f t="shared" si="5"/>
        <v>0</v>
      </c>
      <c r="O75" s="61" t="str">
        <f t="shared" si="6"/>
        <v/>
      </c>
      <c r="P75" s="61" t="str">
        <f t="shared" si="7"/>
        <v/>
      </c>
    </row>
    <row r="76" spans="1:16" x14ac:dyDescent="0.35">
      <c r="A76" s="61">
        <v>74</v>
      </c>
      <c r="B76" s="61"/>
      <c r="C76" s="61"/>
      <c r="D76" s="61">
        <v>120</v>
      </c>
      <c r="E76" s="61"/>
      <c r="F76" s="62">
        <f t="shared" si="4"/>
        <v>0</v>
      </c>
      <c r="G76" s="61"/>
      <c r="H76" s="61"/>
      <c r="I76" s="61"/>
      <c r="J76" s="61"/>
      <c r="K76" s="61"/>
      <c r="L76" s="61"/>
      <c r="M76" s="61"/>
      <c r="N76" s="61">
        <f t="shared" si="5"/>
        <v>0</v>
      </c>
      <c r="O76" s="61" t="str">
        <f t="shared" si="6"/>
        <v/>
      </c>
      <c r="P76" s="61" t="str">
        <f t="shared" si="7"/>
        <v/>
      </c>
    </row>
    <row r="77" spans="1:16" x14ac:dyDescent="0.35">
      <c r="A77" s="61">
        <v>75</v>
      </c>
      <c r="B77" s="61"/>
      <c r="C77" s="61"/>
      <c r="D77" s="61">
        <v>120</v>
      </c>
      <c r="E77" s="61"/>
      <c r="F77" s="62">
        <f t="shared" si="4"/>
        <v>0</v>
      </c>
      <c r="G77" s="61"/>
      <c r="H77" s="61"/>
      <c r="I77" s="61"/>
      <c r="J77" s="61"/>
      <c r="K77" s="61"/>
      <c r="L77" s="61"/>
      <c r="M77" s="61"/>
      <c r="N77" s="61">
        <f t="shared" si="5"/>
        <v>0</v>
      </c>
      <c r="O77" s="61" t="str">
        <f t="shared" si="6"/>
        <v/>
      </c>
      <c r="P77" s="61" t="str">
        <f t="shared" si="7"/>
        <v/>
      </c>
    </row>
    <row r="78" spans="1:16" x14ac:dyDescent="0.35">
      <c r="A78" s="61">
        <v>76</v>
      </c>
      <c r="B78" s="61"/>
      <c r="C78" s="61"/>
      <c r="D78" s="61">
        <v>120</v>
      </c>
      <c r="E78" s="61"/>
      <c r="F78" s="62">
        <f t="shared" si="4"/>
        <v>0</v>
      </c>
      <c r="G78" s="61"/>
      <c r="H78" s="61"/>
      <c r="I78" s="61"/>
      <c r="J78" s="61"/>
      <c r="K78" s="61"/>
      <c r="L78" s="61"/>
      <c r="M78" s="61"/>
      <c r="N78" s="61">
        <f t="shared" si="5"/>
        <v>0</v>
      </c>
      <c r="O78" s="61" t="str">
        <f t="shared" si="6"/>
        <v/>
      </c>
      <c r="P78" s="61" t="str">
        <f t="shared" si="7"/>
        <v/>
      </c>
    </row>
    <row r="79" spans="1:16" x14ac:dyDescent="0.35">
      <c r="A79" s="61">
        <v>77</v>
      </c>
      <c r="B79" s="61"/>
      <c r="C79" s="61"/>
      <c r="D79" s="61">
        <v>120</v>
      </c>
      <c r="E79" s="61"/>
      <c r="F79" s="62">
        <f t="shared" si="4"/>
        <v>0</v>
      </c>
      <c r="G79" s="61"/>
      <c r="H79" s="61"/>
      <c r="I79" s="61"/>
      <c r="J79" s="61"/>
      <c r="K79" s="61"/>
      <c r="L79" s="61"/>
      <c r="M79" s="61"/>
      <c r="N79" s="61">
        <f t="shared" si="5"/>
        <v>0</v>
      </c>
      <c r="O79" s="61" t="str">
        <f t="shared" si="6"/>
        <v/>
      </c>
      <c r="P79" s="61" t="str">
        <f t="shared" si="7"/>
        <v/>
      </c>
    </row>
    <row r="80" spans="1:16" x14ac:dyDescent="0.35">
      <c r="A80" s="61">
        <v>78</v>
      </c>
      <c r="B80" s="61"/>
      <c r="C80" s="61"/>
      <c r="D80" s="61">
        <v>120</v>
      </c>
      <c r="E80" s="61"/>
      <c r="F80" s="62">
        <f t="shared" si="4"/>
        <v>0</v>
      </c>
      <c r="G80" s="61"/>
      <c r="H80" s="61"/>
      <c r="I80" s="61"/>
      <c r="J80" s="61"/>
      <c r="K80" s="61"/>
      <c r="L80" s="61"/>
      <c r="M80" s="61"/>
      <c r="N80" s="61">
        <f t="shared" si="5"/>
        <v>0</v>
      </c>
      <c r="O80" s="61" t="str">
        <f t="shared" si="6"/>
        <v/>
      </c>
      <c r="P80" s="61" t="str">
        <f t="shared" si="7"/>
        <v/>
      </c>
    </row>
    <row r="81" spans="1:16" x14ac:dyDescent="0.35">
      <c r="A81" s="61">
        <v>79</v>
      </c>
      <c r="B81" s="61"/>
      <c r="C81" s="61"/>
      <c r="D81" s="61">
        <v>120</v>
      </c>
      <c r="E81" s="61"/>
      <c r="F81" s="62">
        <f t="shared" si="4"/>
        <v>0</v>
      </c>
      <c r="G81" s="61"/>
      <c r="H81" s="61"/>
      <c r="I81" s="61"/>
      <c r="J81" s="61"/>
      <c r="K81" s="61"/>
      <c r="L81" s="61"/>
      <c r="M81" s="61"/>
      <c r="N81" s="61">
        <f t="shared" si="5"/>
        <v>0</v>
      </c>
      <c r="O81" s="61" t="str">
        <f t="shared" si="6"/>
        <v/>
      </c>
      <c r="P81" s="61" t="str">
        <f t="shared" si="7"/>
        <v/>
      </c>
    </row>
    <row r="82" spans="1:16" x14ac:dyDescent="0.35">
      <c r="A82" s="61">
        <v>80</v>
      </c>
      <c r="B82" s="61"/>
      <c r="C82" s="61"/>
      <c r="D82" s="61">
        <v>120</v>
      </c>
      <c r="E82" s="61"/>
      <c r="F82" s="62">
        <f t="shared" si="4"/>
        <v>0</v>
      </c>
      <c r="G82" s="61"/>
      <c r="H82" s="61"/>
      <c r="I82" s="61"/>
      <c r="J82" s="61"/>
      <c r="K82" s="61"/>
      <c r="L82" s="61"/>
      <c r="M82" s="61"/>
      <c r="N82" s="61">
        <f t="shared" si="5"/>
        <v>0</v>
      </c>
      <c r="O82" s="61" t="str">
        <f t="shared" si="6"/>
        <v/>
      </c>
      <c r="P82" s="61" t="str">
        <f t="shared" si="7"/>
        <v/>
      </c>
    </row>
    <row r="83" spans="1:16" x14ac:dyDescent="0.35">
      <c r="A83" s="61">
        <v>81</v>
      </c>
      <c r="B83" s="61"/>
      <c r="C83" s="61"/>
      <c r="D83" s="61">
        <v>120</v>
      </c>
      <c r="E83" s="61"/>
      <c r="F83" s="62">
        <f t="shared" si="4"/>
        <v>0</v>
      </c>
      <c r="G83" s="61"/>
      <c r="H83" s="61"/>
      <c r="I83" s="61"/>
      <c r="J83" s="61"/>
      <c r="K83" s="61"/>
      <c r="L83" s="61"/>
      <c r="M83" s="61"/>
      <c r="N83" s="61">
        <f t="shared" si="5"/>
        <v>0</v>
      </c>
      <c r="O83" s="61" t="str">
        <f t="shared" si="6"/>
        <v/>
      </c>
      <c r="P83" s="61" t="str">
        <f t="shared" si="7"/>
        <v/>
      </c>
    </row>
    <row r="84" spans="1:16" x14ac:dyDescent="0.35">
      <c r="A84" s="61">
        <v>82</v>
      </c>
      <c r="B84" s="61"/>
      <c r="C84" s="61"/>
      <c r="D84" s="61">
        <v>120</v>
      </c>
      <c r="E84" s="61"/>
      <c r="F84" s="62">
        <f t="shared" si="4"/>
        <v>0</v>
      </c>
      <c r="G84" s="61"/>
      <c r="H84" s="61"/>
      <c r="I84" s="61"/>
      <c r="J84" s="61"/>
      <c r="K84" s="61"/>
      <c r="L84" s="61"/>
      <c r="M84" s="61"/>
      <c r="N84" s="61">
        <f t="shared" si="5"/>
        <v>0</v>
      </c>
      <c r="O84" s="61" t="str">
        <f t="shared" si="6"/>
        <v/>
      </c>
      <c r="P84" s="61" t="str">
        <f t="shared" si="7"/>
        <v/>
      </c>
    </row>
    <row r="85" spans="1:16" x14ac:dyDescent="0.35">
      <c r="A85" s="61">
        <v>83</v>
      </c>
      <c r="B85" s="61"/>
      <c r="C85" s="61"/>
      <c r="D85" s="61">
        <v>120</v>
      </c>
      <c r="E85" s="61"/>
      <c r="F85" s="62">
        <f t="shared" si="4"/>
        <v>0</v>
      </c>
      <c r="G85" s="61"/>
      <c r="H85" s="61"/>
      <c r="I85" s="61"/>
      <c r="J85" s="61"/>
      <c r="K85" s="61"/>
      <c r="L85" s="61"/>
      <c r="M85" s="61"/>
      <c r="N85" s="61">
        <f t="shared" si="5"/>
        <v>0</v>
      </c>
      <c r="O85" s="61" t="str">
        <f t="shared" si="6"/>
        <v/>
      </c>
      <c r="P85" s="61" t="str">
        <f t="shared" si="7"/>
        <v/>
      </c>
    </row>
    <row r="86" spans="1:16" x14ac:dyDescent="0.35">
      <c r="A86" s="61">
        <v>84</v>
      </c>
      <c r="B86" s="61"/>
      <c r="C86" s="61"/>
      <c r="D86" s="61">
        <v>120</v>
      </c>
      <c r="E86" s="61"/>
      <c r="F86" s="62">
        <f t="shared" si="4"/>
        <v>0</v>
      </c>
      <c r="G86" s="61"/>
      <c r="H86" s="61"/>
      <c r="I86" s="61"/>
      <c r="J86" s="61"/>
      <c r="K86" s="61"/>
      <c r="L86" s="61"/>
      <c r="M86" s="61"/>
      <c r="N86" s="61">
        <f t="shared" si="5"/>
        <v>0</v>
      </c>
      <c r="O86" s="61" t="str">
        <f t="shared" si="6"/>
        <v/>
      </c>
      <c r="P86" s="61" t="str">
        <f t="shared" si="7"/>
        <v/>
      </c>
    </row>
    <row r="87" spans="1:16" x14ac:dyDescent="0.35">
      <c r="A87" s="61">
        <v>85</v>
      </c>
      <c r="B87" s="61"/>
      <c r="C87" s="61"/>
      <c r="D87" s="61">
        <v>120</v>
      </c>
      <c r="E87" s="61"/>
      <c r="F87" s="62">
        <f t="shared" si="4"/>
        <v>0</v>
      </c>
      <c r="G87" s="61"/>
      <c r="H87" s="61"/>
      <c r="I87" s="61"/>
      <c r="J87" s="61"/>
      <c r="K87" s="61"/>
      <c r="L87" s="61"/>
      <c r="M87" s="61"/>
      <c r="N87" s="61">
        <f t="shared" si="5"/>
        <v>0</v>
      </c>
      <c r="O87" s="61" t="str">
        <f t="shared" si="6"/>
        <v/>
      </c>
      <c r="P87" s="61" t="str">
        <f t="shared" si="7"/>
        <v/>
      </c>
    </row>
    <row r="88" spans="1:16" x14ac:dyDescent="0.35">
      <c r="A88" s="61">
        <v>86</v>
      </c>
      <c r="B88" s="61"/>
      <c r="C88" s="61"/>
      <c r="D88" s="61">
        <v>120</v>
      </c>
      <c r="E88" s="61"/>
      <c r="F88" s="62">
        <f t="shared" si="4"/>
        <v>0</v>
      </c>
      <c r="G88" s="61"/>
      <c r="H88" s="61"/>
      <c r="I88" s="61"/>
      <c r="J88" s="61"/>
      <c r="K88" s="61"/>
      <c r="L88" s="61"/>
      <c r="M88" s="61"/>
      <c r="N88" s="61">
        <f t="shared" si="5"/>
        <v>0</v>
      </c>
      <c r="O88" s="61" t="str">
        <f t="shared" si="6"/>
        <v/>
      </c>
      <c r="P88" s="61" t="str">
        <f t="shared" si="7"/>
        <v/>
      </c>
    </row>
    <row r="89" spans="1:16" x14ac:dyDescent="0.35">
      <c r="A89" s="61">
        <v>87</v>
      </c>
      <c r="B89" s="61"/>
      <c r="C89" s="61"/>
      <c r="D89" s="61">
        <v>120</v>
      </c>
      <c r="E89" s="61"/>
      <c r="F89" s="62">
        <f t="shared" si="4"/>
        <v>0</v>
      </c>
      <c r="G89" s="61"/>
      <c r="H89" s="61"/>
      <c r="I89" s="61"/>
      <c r="J89" s="61"/>
      <c r="K89" s="61"/>
      <c r="L89" s="61"/>
      <c r="M89" s="61"/>
      <c r="N89" s="61">
        <f t="shared" si="5"/>
        <v>0</v>
      </c>
      <c r="O89" s="61" t="str">
        <f t="shared" si="6"/>
        <v/>
      </c>
      <c r="P89" s="61" t="str">
        <f t="shared" si="7"/>
        <v/>
      </c>
    </row>
    <row r="90" spans="1:16" x14ac:dyDescent="0.35">
      <c r="A90" s="61">
        <v>88</v>
      </c>
      <c r="B90" s="61"/>
      <c r="C90" s="61"/>
      <c r="D90" s="61">
        <v>120</v>
      </c>
      <c r="E90" s="61"/>
      <c r="F90" s="62">
        <f t="shared" si="4"/>
        <v>0</v>
      </c>
      <c r="G90" s="61"/>
      <c r="H90" s="61"/>
      <c r="I90" s="61"/>
      <c r="J90" s="61"/>
      <c r="K90" s="61"/>
      <c r="L90" s="61"/>
      <c r="M90" s="61"/>
      <c r="N90" s="61">
        <f t="shared" si="5"/>
        <v>0</v>
      </c>
      <c r="O90" s="61" t="str">
        <f t="shared" si="6"/>
        <v/>
      </c>
      <c r="P90" s="61" t="str">
        <f t="shared" si="7"/>
        <v/>
      </c>
    </row>
    <row r="91" spans="1:16" x14ac:dyDescent="0.35">
      <c r="A91" s="61">
        <v>89</v>
      </c>
      <c r="B91" s="61"/>
      <c r="C91" s="61"/>
      <c r="D91" s="61">
        <v>120</v>
      </c>
      <c r="E91" s="61"/>
      <c r="F91" s="62">
        <f t="shared" si="4"/>
        <v>0</v>
      </c>
      <c r="G91" s="61"/>
      <c r="H91" s="61"/>
      <c r="I91" s="61"/>
      <c r="J91" s="61"/>
      <c r="K91" s="61"/>
      <c r="L91" s="61"/>
      <c r="M91" s="61"/>
      <c r="N91" s="61">
        <f t="shared" si="5"/>
        <v>0</v>
      </c>
      <c r="O91" s="61" t="str">
        <f t="shared" si="6"/>
        <v/>
      </c>
      <c r="P91" s="61" t="str">
        <f t="shared" si="7"/>
        <v/>
      </c>
    </row>
    <row r="92" spans="1:16" x14ac:dyDescent="0.35">
      <c r="A92" s="61">
        <v>90</v>
      </c>
      <c r="B92" s="61"/>
      <c r="C92" s="61"/>
      <c r="D92" s="61">
        <v>120</v>
      </c>
      <c r="E92" s="61"/>
      <c r="F92" s="62">
        <f t="shared" si="4"/>
        <v>0</v>
      </c>
      <c r="G92" s="61"/>
      <c r="H92" s="61"/>
      <c r="I92" s="61"/>
      <c r="J92" s="61"/>
      <c r="K92" s="61"/>
      <c r="L92" s="61"/>
      <c r="M92" s="61"/>
      <c r="N92" s="61">
        <f t="shared" si="5"/>
        <v>0</v>
      </c>
      <c r="O92" s="61" t="str">
        <f t="shared" si="6"/>
        <v/>
      </c>
      <c r="P92" s="61" t="str">
        <f t="shared" si="7"/>
        <v/>
      </c>
    </row>
    <row r="93" spans="1:16" x14ac:dyDescent="0.35">
      <c r="A93" s="61">
        <v>91</v>
      </c>
      <c r="B93" s="61"/>
      <c r="C93" s="61"/>
      <c r="D93" s="61">
        <v>120</v>
      </c>
      <c r="E93" s="61"/>
      <c r="F93" s="62">
        <f t="shared" si="4"/>
        <v>0</v>
      </c>
      <c r="G93" s="61"/>
      <c r="H93" s="61"/>
      <c r="I93" s="61"/>
      <c r="J93" s="61"/>
      <c r="K93" s="61"/>
      <c r="L93" s="61"/>
      <c r="M93" s="61"/>
      <c r="N93" s="61">
        <f t="shared" si="5"/>
        <v>0</v>
      </c>
      <c r="O93" s="61" t="str">
        <f t="shared" si="6"/>
        <v/>
      </c>
      <c r="P93" s="61" t="str">
        <f t="shared" si="7"/>
        <v/>
      </c>
    </row>
    <row r="94" spans="1:16" x14ac:dyDescent="0.35">
      <c r="A94" s="61">
        <v>92</v>
      </c>
      <c r="B94" s="61"/>
      <c r="C94" s="61"/>
      <c r="D94" s="61">
        <v>120</v>
      </c>
      <c r="E94" s="61"/>
      <c r="F94" s="62">
        <f t="shared" si="4"/>
        <v>0</v>
      </c>
      <c r="G94" s="61"/>
      <c r="H94" s="61"/>
      <c r="I94" s="61"/>
      <c r="J94" s="61"/>
      <c r="K94" s="61"/>
      <c r="L94" s="61"/>
      <c r="M94" s="61"/>
      <c r="N94" s="61">
        <f t="shared" si="5"/>
        <v>0</v>
      </c>
      <c r="O94" s="61" t="str">
        <f t="shared" si="6"/>
        <v/>
      </c>
      <c r="P94" s="61" t="str">
        <f t="shared" si="7"/>
        <v/>
      </c>
    </row>
    <row r="95" spans="1:16" x14ac:dyDescent="0.35">
      <c r="A95" s="61">
        <v>93</v>
      </c>
      <c r="B95" s="61"/>
      <c r="C95" s="61"/>
      <c r="D95" s="61">
        <v>120</v>
      </c>
      <c r="E95" s="61"/>
      <c r="F95" s="62">
        <f t="shared" si="4"/>
        <v>0</v>
      </c>
      <c r="G95" s="61"/>
      <c r="H95" s="61"/>
      <c r="I95" s="61"/>
      <c r="J95" s="61"/>
      <c r="K95" s="61"/>
      <c r="L95" s="61"/>
      <c r="M95" s="61"/>
      <c r="N95" s="61">
        <f t="shared" si="5"/>
        <v>0</v>
      </c>
      <c r="O95" s="61" t="str">
        <f t="shared" si="6"/>
        <v/>
      </c>
      <c r="P95" s="61" t="str">
        <f t="shared" si="7"/>
        <v/>
      </c>
    </row>
    <row r="96" spans="1:16" x14ac:dyDescent="0.35">
      <c r="A96" s="61">
        <v>94</v>
      </c>
      <c r="B96" s="61"/>
      <c r="C96" s="61"/>
      <c r="D96" s="61">
        <v>120</v>
      </c>
      <c r="E96" s="61"/>
      <c r="F96" s="62">
        <f t="shared" si="4"/>
        <v>0</v>
      </c>
      <c r="G96" s="61"/>
      <c r="H96" s="61"/>
      <c r="I96" s="61"/>
      <c r="J96" s="61"/>
      <c r="K96" s="61"/>
      <c r="L96" s="61"/>
      <c r="M96" s="61"/>
      <c r="N96" s="61">
        <f t="shared" si="5"/>
        <v>0</v>
      </c>
      <c r="O96" s="61" t="str">
        <f t="shared" si="6"/>
        <v/>
      </c>
      <c r="P96" s="61" t="str">
        <f t="shared" si="7"/>
        <v/>
      </c>
    </row>
    <row r="97" spans="1:16" x14ac:dyDescent="0.35">
      <c r="A97" s="61">
        <v>95</v>
      </c>
      <c r="B97" s="61"/>
      <c r="C97" s="61"/>
      <c r="D97" s="61">
        <v>120</v>
      </c>
      <c r="E97" s="61"/>
      <c r="F97" s="62">
        <f t="shared" si="4"/>
        <v>0</v>
      </c>
      <c r="G97" s="61"/>
      <c r="H97" s="61"/>
      <c r="I97" s="61"/>
      <c r="J97" s="61"/>
      <c r="K97" s="61"/>
      <c r="L97" s="61"/>
      <c r="M97" s="61"/>
      <c r="N97" s="61">
        <f t="shared" si="5"/>
        <v>0</v>
      </c>
      <c r="O97" s="61" t="str">
        <f t="shared" si="6"/>
        <v/>
      </c>
      <c r="P97" s="61" t="str">
        <f t="shared" si="7"/>
        <v/>
      </c>
    </row>
    <row r="98" spans="1:16" x14ac:dyDescent="0.35">
      <c r="A98" s="61">
        <v>96</v>
      </c>
      <c r="B98" s="61"/>
      <c r="C98" s="61"/>
      <c r="D98" s="61">
        <v>120</v>
      </c>
      <c r="E98" s="61"/>
      <c r="F98" s="62">
        <f t="shared" si="4"/>
        <v>0</v>
      </c>
      <c r="G98" s="61"/>
      <c r="H98" s="61"/>
      <c r="I98" s="61"/>
      <c r="J98" s="61"/>
      <c r="K98" s="61"/>
      <c r="L98" s="61"/>
      <c r="M98" s="61"/>
      <c r="N98" s="61">
        <f t="shared" si="5"/>
        <v>0</v>
      </c>
      <c r="O98" s="61" t="str">
        <f t="shared" si="6"/>
        <v/>
      </c>
      <c r="P98" s="61" t="str">
        <f t="shared" si="7"/>
        <v/>
      </c>
    </row>
    <row r="99" spans="1:16" x14ac:dyDescent="0.35">
      <c r="A99" s="61">
        <v>97</v>
      </c>
      <c r="B99" s="61"/>
      <c r="C99" s="61"/>
      <c r="D99" s="61">
        <v>120</v>
      </c>
      <c r="E99" s="61"/>
      <c r="F99" s="62">
        <f t="shared" si="4"/>
        <v>0</v>
      </c>
      <c r="G99" s="61"/>
      <c r="H99" s="61"/>
      <c r="I99" s="61"/>
      <c r="J99" s="61"/>
      <c r="K99" s="61"/>
      <c r="L99" s="61"/>
      <c r="M99" s="61"/>
      <c r="N99" s="61">
        <f t="shared" si="5"/>
        <v>0</v>
      </c>
      <c r="O99" s="61" t="str">
        <f t="shared" si="6"/>
        <v/>
      </c>
      <c r="P99" s="61" t="str">
        <f t="shared" si="7"/>
        <v/>
      </c>
    </row>
    <row r="100" spans="1:16" x14ac:dyDescent="0.35">
      <c r="A100" s="61">
        <v>98</v>
      </c>
      <c r="B100" s="61"/>
      <c r="C100" s="61"/>
      <c r="D100" s="61">
        <v>120</v>
      </c>
      <c r="E100" s="61"/>
      <c r="F100" s="62">
        <f t="shared" si="4"/>
        <v>0</v>
      </c>
      <c r="G100" s="61"/>
      <c r="H100" s="61"/>
      <c r="I100" s="61"/>
      <c r="J100" s="61"/>
      <c r="K100" s="61"/>
      <c r="L100" s="61"/>
      <c r="M100" s="61"/>
      <c r="N100" s="61">
        <f t="shared" si="5"/>
        <v>0</v>
      </c>
      <c r="O100" s="61" t="str">
        <f t="shared" si="6"/>
        <v/>
      </c>
      <c r="P100" s="61" t="str">
        <f t="shared" si="7"/>
        <v/>
      </c>
    </row>
    <row r="101" spans="1:16" x14ac:dyDescent="0.35">
      <c r="A101" s="61">
        <v>99</v>
      </c>
      <c r="B101" s="61"/>
      <c r="C101" s="61"/>
      <c r="D101" s="61">
        <v>120</v>
      </c>
      <c r="E101" s="61"/>
      <c r="F101" s="62">
        <f t="shared" si="4"/>
        <v>0</v>
      </c>
      <c r="G101" s="61"/>
      <c r="H101" s="61"/>
      <c r="I101" s="61"/>
      <c r="J101" s="61"/>
      <c r="K101" s="61"/>
      <c r="L101" s="61"/>
      <c r="M101" s="61"/>
      <c r="N101" s="61">
        <f t="shared" si="5"/>
        <v>0</v>
      </c>
      <c r="O101" s="61" t="str">
        <f t="shared" si="6"/>
        <v/>
      </c>
      <c r="P101" s="61" t="str">
        <f t="shared" si="7"/>
        <v/>
      </c>
    </row>
    <row r="102" spans="1:16" x14ac:dyDescent="0.35">
      <c r="A102" s="61">
        <v>100</v>
      </c>
      <c r="B102" s="61" t="s">
        <v>78</v>
      </c>
      <c r="C102" s="61" t="s">
        <v>81</v>
      </c>
      <c r="D102" s="61">
        <v>120</v>
      </c>
      <c r="E102" s="61">
        <v>111</v>
      </c>
      <c r="F102" s="62">
        <f t="shared" si="4"/>
        <v>0.92500000000000004</v>
      </c>
      <c r="G102" s="61">
        <v>60</v>
      </c>
      <c r="H102" s="61">
        <v>45</v>
      </c>
      <c r="I102" s="61">
        <v>55</v>
      </c>
      <c r="J102" s="61">
        <v>66</v>
      </c>
      <c r="K102" s="61">
        <v>66</v>
      </c>
      <c r="L102" s="61">
        <v>66</v>
      </c>
      <c r="M102" s="61">
        <v>45</v>
      </c>
      <c r="N102" s="61">
        <f t="shared" si="5"/>
        <v>403</v>
      </c>
      <c r="O102" s="61" t="str">
        <f t="shared" si="6"/>
        <v>Pass</v>
      </c>
      <c r="P102" s="61">
        <f t="shared" si="7"/>
        <v>5</v>
      </c>
    </row>
    <row r="103" spans="1:16" x14ac:dyDescent="0.3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>
        <f t="shared" si="5"/>
        <v>0</v>
      </c>
      <c r="O103" s="61"/>
      <c r="P103" s="61"/>
    </row>
  </sheetData>
  <phoneticPr fontId="3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6DD6-0CA8-4BD2-9CB6-220D51046754}">
  <sheetPr>
    <pageSetUpPr fitToPage="1"/>
  </sheetPr>
  <dimension ref="A1:Z1004"/>
  <sheetViews>
    <sheetView tabSelected="1" workbookViewId="0">
      <selection activeCell="J1" sqref="J1"/>
    </sheetView>
  </sheetViews>
  <sheetFormatPr defaultColWidth="14.453125" defaultRowHeight="15" customHeight="1" x14ac:dyDescent="0.35"/>
  <cols>
    <col min="1" max="1" width="1" customWidth="1"/>
    <col min="2" max="2" width="7.08984375" customWidth="1"/>
    <col min="3" max="3" width="19.7265625" customWidth="1"/>
    <col min="4" max="4" width="11.7265625" customWidth="1"/>
    <col min="5" max="5" width="15.54296875" customWidth="1"/>
    <col min="6" max="6" width="16.26953125" customWidth="1"/>
    <col min="7" max="7" width="13.26953125" customWidth="1"/>
    <col min="8" max="8" width="13.453125" customWidth="1"/>
    <col min="9" max="9" width="8.7265625" customWidth="1"/>
    <col min="11" max="11" width="11.453125" customWidth="1"/>
    <col min="12" max="26" width="8.7265625" customWidth="1"/>
  </cols>
  <sheetData>
    <row r="1" spans="1:26" ht="1.5" customHeight="1" thickBot="1" x14ac:dyDescent="1.05">
      <c r="C1" s="1"/>
      <c r="D1" s="2"/>
      <c r="E1" s="3"/>
      <c r="F1" s="4"/>
      <c r="G1" s="4"/>
      <c r="K1" t="s">
        <v>85</v>
      </c>
      <c r="L1" t="s">
        <v>84</v>
      </c>
    </row>
    <row r="2" spans="1:26" ht="23.25" customHeight="1" x14ac:dyDescent="0.35">
      <c r="A2" s="1"/>
      <c r="B2" s="113"/>
      <c r="C2" s="114"/>
      <c r="D2" s="114"/>
      <c r="E2" s="114"/>
      <c r="F2" s="114"/>
      <c r="G2" s="114"/>
      <c r="H2" s="115"/>
    </row>
    <row r="3" spans="1:26" ht="23.25" customHeight="1" x14ac:dyDescent="0.35">
      <c r="A3" s="1"/>
      <c r="B3" s="5" t="s">
        <v>0</v>
      </c>
      <c r="C3" s="6"/>
      <c r="D3" s="6"/>
      <c r="E3" s="6"/>
      <c r="F3" s="6"/>
      <c r="G3" s="6"/>
      <c r="H3" s="7"/>
    </row>
    <row r="4" spans="1:26" ht="29.25" customHeight="1" x14ac:dyDescent="0.35">
      <c r="A4" s="8"/>
      <c r="B4" s="116"/>
      <c r="C4" s="93"/>
      <c r="D4" s="93"/>
      <c r="E4" s="93"/>
      <c r="F4" s="93"/>
      <c r="G4" s="93"/>
      <c r="H4" s="11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7.25" customHeight="1" x14ac:dyDescent="1.1000000000000001">
      <c r="A5" s="1"/>
      <c r="B5" s="118"/>
      <c r="C5" s="93"/>
      <c r="D5" s="93"/>
      <c r="E5" s="93"/>
      <c r="F5" s="93"/>
      <c r="G5" s="93"/>
      <c r="H5" s="117"/>
    </row>
    <row r="6" spans="1:26" ht="17.25" customHeight="1" x14ac:dyDescent="1">
      <c r="A6" s="1"/>
      <c r="B6" s="9"/>
      <c r="C6" s="1"/>
      <c r="D6" s="2"/>
      <c r="E6" s="3"/>
      <c r="F6" s="4"/>
      <c r="G6" s="4"/>
      <c r="H6" s="10"/>
    </row>
    <row r="7" spans="1:26" ht="12.75" customHeight="1" thickBot="1" x14ac:dyDescent="1.05">
      <c r="A7" s="1"/>
      <c r="B7" s="11"/>
      <c r="C7" s="12"/>
      <c r="D7" s="13"/>
      <c r="E7" s="14"/>
      <c r="F7" s="15"/>
      <c r="G7" s="15"/>
      <c r="H7" s="16"/>
    </row>
    <row r="8" spans="1:26" ht="24" customHeight="1" x14ac:dyDescent="0.35">
      <c r="A8" s="1"/>
      <c r="B8" s="119" t="s">
        <v>1</v>
      </c>
      <c r="C8" s="114"/>
      <c r="D8" s="120" t="str">
        <f>IFERROR(_xlfn.XLOOKUP($H$9,Database!$A$2:$A$102,Database!$B$2:$B$102),"")</f>
        <v xml:space="preserve">Ram lala </v>
      </c>
      <c r="E8" s="114"/>
      <c r="F8" s="114"/>
      <c r="G8" s="17" t="s">
        <v>2</v>
      </c>
      <c r="H8" s="18">
        <v>1</v>
      </c>
    </row>
    <row r="9" spans="1:26" ht="23.25" customHeight="1" x14ac:dyDescent="0.35">
      <c r="A9" s="1"/>
      <c r="B9" s="92" t="s">
        <v>3</v>
      </c>
      <c r="C9" s="93"/>
      <c r="D9" s="94" t="str">
        <f>IFERROR(_xlfn.XLOOKUP($H$9,Database!$A$2:$A$102,Database!$C$2:$C$102),"")</f>
        <v>22/02/2012</v>
      </c>
      <c r="E9" s="93"/>
      <c r="F9" s="19"/>
      <c r="G9" s="20" t="s">
        <v>4</v>
      </c>
      <c r="H9" s="21">
        <v>1</v>
      </c>
    </row>
    <row r="10" spans="1:26" ht="24" customHeight="1" x14ac:dyDescent="0.35">
      <c r="A10" s="1"/>
      <c r="B10" s="92" t="s">
        <v>5</v>
      </c>
      <c r="C10" s="93"/>
      <c r="D10" s="95">
        <v>180400010</v>
      </c>
      <c r="E10" s="93"/>
      <c r="F10" s="93"/>
      <c r="G10" s="20" t="s">
        <v>6</v>
      </c>
      <c r="H10" s="21">
        <v>2083</v>
      </c>
    </row>
    <row r="11" spans="1:26" ht="27.75" customHeight="1" thickBot="1" x14ac:dyDescent="0.4">
      <c r="A11" s="22"/>
      <c r="B11" s="92" t="s">
        <v>7</v>
      </c>
      <c r="C11" s="93"/>
      <c r="D11" s="23">
        <f>IFERROR(_xlfn.XLOOKUP($H$9,Database!$A$3:$A$103,Database!$D$3:$D$103),"")</f>
        <v>120</v>
      </c>
      <c r="E11" s="24" t="s">
        <v>8</v>
      </c>
      <c r="F11" s="23">
        <f>IFERROR(_xlfn.XLOOKUP($H$9,Database!$A$3:$A$103,Database!$E$3:$E$103),"")</f>
        <v>115</v>
      </c>
      <c r="G11" s="25" t="s">
        <v>9</v>
      </c>
      <c r="H11" s="26">
        <f>F11/D11*100</f>
        <v>95.833333333333343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51.75" customHeight="1" x14ac:dyDescent="0.35">
      <c r="A12" s="27"/>
      <c r="B12" s="80" t="s">
        <v>10</v>
      </c>
      <c r="C12" s="81" t="s">
        <v>11</v>
      </c>
      <c r="D12" s="82" t="s">
        <v>12</v>
      </c>
      <c r="E12" s="85" t="s">
        <v>54</v>
      </c>
      <c r="F12" s="86"/>
      <c r="G12" s="82" t="s">
        <v>55</v>
      </c>
      <c r="H12" s="83" t="s">
        <v>13</v>
      </c>
      <c r="I12" s="27"/>
      <c r="J12" s="66"/>
      <c r="K12" s="6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4" customHeight="1" x14ac:dyDescent="0.45">
      <c r="A13" s="28"/>
      <c r="B13" s="29">
        <v>1</v>
      </c>
      <c r="C13" s="30" t="s">
        <v>14</v>
      </c>
      <c r="D13" s="31">
        <v>5</v>
      </c>
      <c r="E13" s="87">
        <f>IFERROR(IF(_xlfn.XLOOKUP($H$9, Database!$A$3:$A$103, Database!$G$3:$G$103)="","", VLOOKUP(_xlfn.XLOOKUP($H$9, Database!$A$3:$A$103, Database!$G$3:$G$103), {0,0;35,1.6;40,2;50,2.4;60,2.8;70,3.2;80,3.6;90,4}, 2, TRUE)), "")</f>
        <v>4</v>
      </c>
      <c r="F13" s="88"/>
      <c r="G13" s="32" t="str">
        <f>IF(E13="","",IF(E13&gt;=4,"A+",IF(E13&gt;=3.6,"A",IF(E13&gt;=3.2,"B+",IF(E13&gt;=2.8,"B",IF(E13&gt;=2.4,"C+",IF(E13&gt;=2,"C",IF(E13&gt;=1.6,"D","NG"))))))))</f>
        <v>A+</v>
      </c>
      <c r="H13" s="33" t="str">
        <f>IF(E13="","",IF(E13&gt;=4,"Outstanding",IF(E13&gt;=3.6,"Excellent",IF(E13&gt;=3.2,"Very Good",IF(E13&gt;=2.8,"Good",IF(E13&gt;=2.4,"Satisfactory",IF(E13&gt;=2,"Acceptable",IF(E13&gt;=1.6,"Basic","Not Graded"))))))))</f>
        <v>Outstanding</v>
      </c>
      <c r="I13" s="28"/>
      <c r="J13" s="67"/>
      <c r="K13" s="68"/>
      <c r="L13" s="68"/>
      <c r="M13" s="6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4" customHeight="1" x14ac:dyDescent="0.45">
      <c r="A14" s="28"/>
      <c r="B14" s="29">
        <v>2</v>
      </c>
      <c r="C14" s="30" t="s">
        <v>15</v>
      </c>
      <c r="D14" s="31">
        <v>4</v>
      </c>
      <c r="E14" s="87">
        <f>IFERROR(IF(_xlfn.XLOOKUP($H$9,Database!$A$3:$A$102,Database!$H$3:$H$102)="","",LOOKUP(_xlfn.XLOOKUP($H$9,Database!$A$3:$A$102,Database!$H$3:$H$102),{0,35,40,50,60,70,80,90},{0,1.6,2,2.4,2.8,3.2,3.6,4})),"")</f>
        <v>3.6</v>
      </c>
      <c r="F14" s="88"/>
      <c r="G14" s="32" t="str">
        <f t="shared" ref="G14:G18" si="0">IF(E14="","",IF(E14&gt;=4,"A+",IF(E14&gt;=3.6,"A",IF(E14&gt;=3.2,"B+",IF(E14&gt;=2.8,"B",IF(E14&gt;=2.4,"C+",IF(E14&gt;=2,"C",IF(E14&gt;=1.6,"D","NG"))))))))</f>
        <v>A</v>
      </c>
      <c r="H14" s="33" t="str">
        <f t="shared" ref="H14:H18" si="1">IF(E14="","",IF(E14&gt;=4,"Outstanding",IF(E14&gt;=3.6,"Excellent",IF(E14&gt;=3.2,"Very Good",IF(E14&gt;=2.8,"Good",IF(E14&gt;=2.4,"Satisfactory",IF(E14&gt;=2,"Acceptable",IF(E14&gt;=1.6,"Basic","Not Graded"))))))))</f>
        <v>Excellent</v>
      </c>
      <c r="I14" s="28"/>
      <c r="J14" s="67"/>
      <c r="K14" s="68"/>
      <c r="L14" s="68"/>
      <c r="M14" s="6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4" customHeight="1" x14ac:dyDescent="0.45">
      <c r="A15" s="28"/>
      <c r="B15" s="29">
        <v>3</v>
      </c>
      <c r="C15" s="30" t="s">
        <v>16</v>
      </c>
      <c r="D15" s="31">
        <v>4</v>
      </c>
      <c r="E15" s="87">
        <f>IFERROR(IF(_xlfn.XLOOKUP($H$9,Database!$A$3:$A$102,Database!$I$3:$I$102)="","",LOOKUP(_xlfn.XLOOKUP($H$9,Database!$A$3:$A$102,Database!$I$3:$I$102),{0,35,40,50,60,70,80,90},{0,1.6,2,2.4,2.8,3.2,3.6,4})),"")</f>
        <v>3.2</v>
      </c>
      <c r="F15" s="88"/>
      <c r="G15" s="32" t="str">
        <f t="shared" si="0"/>
        <v>B+</v>
      </c>
      <c r="H15" s="33" t="str">
        <f t="shared" si="1"/>
        <v>Very Good</v>
      </c>
      <c r="I15" s="28"/>
      <c r="J15" s="67"/>
      <c r="K15" s="68"/>
      <c r="L15" s="69"/>
      <c r="M15" s="6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4" customHeight="1" x14ac:dyDescent="0.45">
      <c r="A16" s="28"/>
      <c r="B16" s="34">
        <v>4</v>
      </c>
      <c r="C16" s="35" t="s">
        <v>17</v>
      </c>
      <c r="D16" s="31">
        <v>8</v>
      </c>
      <c r="E16" s="87">
        <f>IFERROR(IF(_xlfn.XLOOKUP($H$9,Database!$A$3:$A$102,Database!$J$3:$J$102)="","",LOOKUP(_xlfn.XLOOKUP($H$9,Database!$A$3:$A$102,Database!$J$3:$J$102),{0,35,40,50,60,70,80,90},{0,1.6,2,2.4,2.8,3.2,3.6,4})),"")</f>
        <v>4</v>
      </c>
      <c r="F16" s="88"/>
      <c r="G16" s="32" t="str">
        <f t="shared" si="0"/>
        <v>A+</v>
      </c>
      <c r="H16" s="33" t="str">
        <f t="shared" si="1"/>
        <v>Outstanding</v>
      </c>
      <c r="I16" s="28"/>
      <c r="J16" s="67"/>
      <c r="K16" s="68"/>
      <c r="L16" s="69"/>
      <c r="M16" s="6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4" customHeight="1" x14ac:dyDescent="0.45">
      <c r="A17" s="28"/>
      <c r="B17" s="34">
        <v>5</v>
      </c>
      <c r="C17" s="35" t="s">
        <v>53</v>
      </c>
      <c r="D17" s="36">
        <v>2.5</v>
      </c>
      <c r="E17" s="135">
        <f>IFERROR(IF(_xlfn.XLOOKUP($H$9,Database!$A$3:$A$102,Database!$K$3:$K$102)="","",LOOKUP(_xlfn.XLOOKUP($H$9,Database!$A$3:$A$102,Database!$K$3:$K$102),{0,35,40,50,60,70,80,90},{0,1.6,2,2.4,2.8,3.2,3.6,4})),"")</f>
        <v>3.6</v>
      </c>
      <c r="F17" s="136"/>
      <c r="G17" s="32" t="str">
        <f t="shared" si="0"/>
        <v>A</v>
      </c>
      <c r="H17" s="33" t="str">
        <f t="shared" si="1"/>
        <v>Excellent</v>
      </c>
      <c r="I17" s="28"/>
      <c r="J17" s="67"/>
      <c r="K17" s="68"/>
      <c r="L17" s="68"/>
      <c r="M17" s="6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4" customHeight="1" thickBot="1" x14ac:dyDescent="0.5">
      <c r="A18" s="28"/>
      <c r="B18" s="37">
        <v>6</v>
      </c>
      <c r="C18" s="38" t="s">
        <v>56</v>
      </c>
      <c r="D18" s="39">
        <v>2.5</v>
      </c>
      <c r="E18" s="137">
        <f>IFERROR(IF(_xlfn.XLOOKUP($H$9,Database!$A$3:$A$102,Database!$L$3:$L$102)="","",LOOKUP(_xlfn.XLOOKUP($H$9,Database!$A$3:$A$102,Database!$L$3:$L$102),{0,35,40,50,60,70,80,90},{0,1.6,2,2.4,2.8,3.2,3.6,4})),"")</f>
        <v>2.8</v>
      </c>
      <c r="F18" s="138"/>
      <c r="G18" s="32" t="str">
        <f t="shared" si="0"/>
        <v>B</v>
      </c>
      <c r="H18" s="33" t="str">
        <f t="shared" si="1"/>
        <v>Good</v>
      </c>
      <c r="I18" s="28"/>
      <c r="J18" s="67"/>
      <c r="K18" s="68"/>
      <c r="L18" s="68"/>
      <c r="M18" s="6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2.5" customHeight="1" thickBot="1" x14ac:dyDescent="0.4">
      <c r="A19" s="1"/>
      <c r="B19" s="123" t="s">
        <v>18</v>
      </c>
      <c r="C19" s="124"/>
      <c r="D19" s="124"/>
      <c r="E19" s="124"/>
      <c r="F19" s="124"/>
      <c r="G19" s="125">
        <f>IF(COUNTIF(G13:G18,"NG")&gt;0,0,IFERROR(SUMPRODUCT(D13:D18,E13:E18)/SUM(D13:D18),0))</f>
        <v>3.6615384615384619</v>
      </c>
      <c r="H19" s="126"/>
      <c r="J19" s="121"/>
      <c r="K19" s="122"/>
      <c r="L19" s="122"/>
      <c r="M19" s="71"/>
    </row>
    <row r="20" spans="1:26" ht="22.5" customHeight="1" thickBot="1" x14ac:dyDescent="0.45">
      <c r="A20" s="1"/>
      <c r="B20" s="73"/>
      <c r="C20" s="96" t="s">
        <v>57</v>
      </c>
      <c r="D20" s="96"/>
      <c r="E20" s="96"/>
      <c r="F20" s="76"/>
      <c r="G20" s="78"/>
      <c r="H20" s="64"/>
      <c r="J20" s="70"/>
      <c r="K20" s="65"/>
      <c r="L20" s="65"/>
      <c r="M20" s="71"/>
    </row>
    <row r="21" spans="1:26" ht="22.5" customHeight="1" thickBot="1" x14ac:dyDescent="0.5">
      <c r="A21" s="1"/>
      <c r="B21" s="74">
        <v>7</v>
      </c>
      <c r="C21" s="77" t="s">
        <v>58</v>
      </c>
      <c r="D21" s="77">
        <v>4</v>
      </c>
      <c r="E21" s="97">
        <f>IFERROR(IF(_xlfn.XLOOKUP($H$9,Database!$A$3:$A$102,Database!$M$3:$M$102)="","",LOOKUP(_xlfn.XLOOKUP($H$9,Database!$A$3:$A$102,Database!$M$3:$M$102),{0,35,40,50,60,70,80,90},{0,1.6,2,2.4,2.8,3.2,3.6,4})),"")</f>
        <v>2</v>
      </c>
      <c r="F21" s="98"/>
      <c r="G21" s="79" t="str">
        <f>IF(E21="","",IF(E21&gt;=4,"A+",IF(E21&gt;=3.6,"A",IF(E21&gt;=3.2,"B+",IF(E21&gt;=2.8,"B",IF(E21&gt;=2.4,"C+",IF(E21&gt;=2,"C",IF(E21&gt;=1.6,"D","NG"))))))))</f>
        <v>C</v>
      </c>
      <c r="H21" s="75" t="str">
        <f>IF(E21="","",IF(E21&gt;=4,"Outstanding",IF(E21&gt;=3.6,"Excellent",IF(E21&gt;=3.2,"Very Good",IF(E21&gt;=2.8,"Good",IF(E21&gt;=2.4,"Satisfactory",IF(E21&gt;=2,"Acceptable",IF(E21&gt;=1.6,"Basic","Not Graded"))))))))</f>
        <v>Acceptable</v>
      </c>
      <c r="J21" s="70"/>
      <c r="K21" s="65"/>
      <c r="L21" s="65"/>
      <c r="M21" s="71"/>
    </row>
    <row r="22" spans="1:26" ht="22.5" customHeight="1" thickBot="1" x14ac:dyDescent="0.4">
      <c r="A22" s="72"/>
      <c r="B22" s="99" t="s">
        <v>18</v>
      </c>
      <c r="C22" s="100"/>
      <c r="D22" s="100"/>
      <c r="E22" s="100"/>
      <c r="F22" s="101"/>
      <c r="G22" s="102">
        <f>IF(OR(COUNTIF(G13:G18,"NG")&gt;0,G21="NG"),0,IFERROR((SUMPRODUCT(D13:D18,E13:E18)+(D21*E21))/(SUM(D13:D18)+D21),0))</f>
        <v>3.44</v>
      </c>
      <c r="H22" s="103"/>
      <c r="J22" s="70"/>
      <c r="K22" s="65"/>
      <c r="L22" s="65"/>
      <c r="M22" s="71"/>
    </row>
    <row r="23" spans="1:26" ht="28.5" customHeight="1" thickBot="1" x14ac:dyDescent="0.4">
      <c r="A23" s="1"/>
      <c r="B23" s="131" t="s">
        <v>20</v>
      </c>
      <c r="C23" s="132"/>
      <c r="D23" s="132"/>
      <c r="E23" s="132"/>
      <c r="F23" s="132"/>
      <c r="G23" s="132"/>
      <c r="H23" s="133"/>
    </row>
    <row r="24" spans="1:26" ht="21.75" customHeight="1" thickBot="1" x14ac:dyDescent="0.4">
      <c r="A24" s="1"/>
      <c r="B24" s="134" t="s">
        <v>23</v>
      </c>
      <c r="C24" s="132"/>
      <c r="D24" s="133"/>
      <c r="E24" s="40"/>
      <c r="F24" s="130" t="s">
        <v>24</v>
      </c>
      <c r="G24" s="93"/>
      <c r="H24" s="117"/>
    </row>
    <row r="25" spans="1:26" ht="21" customHeight="1" x14ac:dyDescent="0.35">
      <c r="A25" s="1"/>
      <c r="B25" s="41" t="s">
        <v>26</v>
      </c>
      <c r="C25" s="42" t="s">
        <v>27</v>
      </c>
      <c r="D25" s="43" t="s">
        <v>28</v>
      </c>
      <c r="E25" s="40"/>
      <c r="F25" s="127" t="s">
        <v>29</v>
      </c>
      <c r="G25" s="128"/>
      <c r="H25" s="129">
        <v>4</v>
      </c>
    </row>
    <row r="26" spans="1:26" ht="21" customHeight="1" x14ac:dyDescent="0.35">
      <c r="A26" s="1"/>
      <c r="B26" s="44" t="s">
        <v>32</v>
      </c>
      <c r="C26" s="45" t="s">
        <v>33</v>
      </c>
      <c r="D26" s="46" t="s">
        <v>34</v>
      </c>
      <c r="E26" s="40"/>
      <c r="F26" s="106"/>
      <c r="G26" s="105"/>
      <c r="H26" s="108"/>
    </row>
    <row r="27" spans="1:26" ht="18.75" customHeight="1" x14ac:dyDescent="0.35">
      <c r="A27" s="8"/>
      <c r="B27" s="44" t="s">
        <v>37</v>
      </c>
      <c r="C27" s="45" t="s">
        <v>38</v>
      </c>
      <c r="D27" s="46" t="s">
        <v>39</v>
      </c>
      <c r="E27" s="40"/>
      <c r="F27" s="104" t="s">
        <v>40</v>
      </c>
      <c r="G27" s="105"/>
      <c r="H27" s="107">
        <v>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6" ht="22.5" customHeight="1" x14ac:dyDescent="0.35">
      <c r="A28" s="8"/>
      <c r="B28" s="47" t="s">
        <v>41</v>
      </c>
      <c r="C28" s="48" t="s">
        <v>42</v>
      </c>
      <c r="D28" s="49" t="s">
        <v>43</v>
      </c>
      <c r="E28" s="50"/>
      <c r="F28" s="106"/>
      <c r="G28" s="105"/>
      <c r="H28" s="10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6" ht="21" customHeight="1" x14ac:dyDescent="0.35">
      <c r="A29" s="8"/>
      <c r="B29" s="47" t="s">
        <v>35</v>
      </c>
      <c r="C29" s="48" t="s">
        <v>36</v>
      </c>
      <c r="D29" s="49" t="s">
        <v>44</v>
      </c>
      <c r="E29" s="50"/>
      <c r="F29" s="104" t="s">
        <v>25</v>
      </c>
      <c r="G29" s="105"/>
      <c r="H29" s="107">
        <v>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6" ht="21" customHeight="1" x14ac:dyDescent="0.35">
      <c r="A30" s="8"/>
      <c r="B30" s="47" t="s">
        <v>30</v>
      </c>
      <c r="C30" s="48" t="s">
        <v>31</v>
      </c>
      <c r="D30" s="49" t="s">
        <v>45</v>
      </c>
      <c r="E30" s="50"/>
      <c r="F30" s="106"/>
      <c r="G30" s="105"/>
      <c r="H30" s="10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6" ht="23.25" customHeight="1" x14ac:dyDescent="0.35">
      <c r="A31" s="8"/>
      <c r="B31" s="47" t="s">
        <v>46</v>
      </c>
      <c r="C31" s="48" t="s">
        <v>25</v>
      </c>
      <c r="D31" s="49" t="s">
        <v>47</v>
      </c>
      <c r="E31" s="50"/>
      <c r="F31" s="104" t="s">
        <v>48</v>
      </c>
      <c r="G31" s="105"/>
      <c r="H31" s="107">
        <v>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6" ht="20.25" customHeight="1" thickBot="1" x14ac:dyDescent="0.4">
      <c r="A32" s="1"/>
      <c r="B32" s="51" t="s">
        <v>21</v>
      </c>
      <c r="C32" s="52" t="s">
        <v>22</v>
      </c>
      <c r="D32" s="53" t="s">
        <v>49</v>
      </c>
      <c r="E32" s="54"/>
      <c r="F32" s="139"/>
      <c r="G32" s="140"/>
      <c r="H32" s="141"/>
    </row>
    <row r="33" spans="1:8" ht="39" customHeight="1" x14ac:dyDescent="0.35">
      <c r="A33" s="1"/>
      <c r="B33" s="142"/>
      <c r="C33" s="143"/>
      <c r="D33" s="55"/>
      <c r="E33" s="56"/>
      <c r="F33" s="56"/>
      <c r="G33" s="57"/>
      <c r="H33" s="58"/>
    </row>
    <row r="34" spans="1:8" ht="17.25" customHeight="1" x14ac:dyDescent="0.35">
      <c r="A34" s="1"/>
      <c r="B34" s="109" t="s">
        <v>50</v>
      </c>
      <c r="C34" s="110"/>
      <c r="D34" s="59"/>
      <c r="E34" s="60" t="s">
        <v>52</v>
      </c>
      <c r="F34" s="60" t="s">
        <v>80</v>
      </c>
      <c r="G34" s="111" t="s">
        <v>51</v>
      </c>
      <c r="H34" s="112"/>
    </row>
    <row r="35" spans="1:8" ht="30.75" customHeight="1" thickBot="1" x14ac:dyDescent="0.5">
      <c r="B35" s="89" t="s">
        <v>77</v>
      </c>
      <c r="C35" s="90"/>
      <c r="D35" s="90"/>
      <c r="E35" s="90"/>
      <c r="F35" s="90"/>
      <c r="G35" s="90"/>
      <c r="H35" s="91"/>
    </row>
    <row r="36" spans="1:8" ht="17.25" customHeight="1" x14ac:dyDescent="1">
      <c r="C36" s="1"/>
      <c r="D36" s="2"/>
      <c r="E36" s="3"/>
      <c r="F36" s="4"/>
      <c r="G36" s="4"/>
    </row>
    <row r="37" spans="1:8" ht="17.25" customHeight="1" x14ac:dyDescent="1">
      <c r="C37" s="1"/>
      <c r="D37" s="2"/>
      <c r="E37" s="3"/>
      <c r="F37" s="4"/>
      <c r="G37" s="4"/>
    </row>
    <row r="38" spans="1:8" ht="17.25" customHeight="1" x14ac:dyDescent="1">
      <c r="C38" s="1"/>
      <c r="D38" s="2"/>
      <c r="E38" s="3"/>
      <c r="F38" s="4"/>
      <c r="G38" s="4"/>
    </row>
    <row r="39" spans="1:8" ht="17.25" customHeight="1" x14ac:dyDescent="1">
      <c r="C39" s="1"/>
      <c r="D39" s="2"/>
      <c r="E39" s="3"/>
      <c r="F39" s="4"/>
      <c r="G39" s="4"/>
    </row>
    <row r="40" spans="1:8" ht="17.25" customHeight="1" x14ac:dyDescent="1">
      <c r="C40" s="1"/>
      <c r="D40" s="2"/>
      <c r="E40" s="3"/>
      <c r="F40" s="4"/>
      <c r="G40" s="4"/>
    </row>
    <row r="41" spans="1:8" ht="17.25" customHeight="1" x14ac:dyDescent="1">
      <c r="C41" s="1"/>
      <c r="D41" s="2"/>
      <c r="E41" s="3"/>
      <c r="F41" s="4"/>
      <c r="G41" s="4"/>
    </row>
    <row r="42" spans="1:8" ht="17.25" customHeight="1" x14ac:dyDescent="1">
      <c r="C42" s="1"/>
      <c r="D42" s="2"/>
      <c r="E42" s="3"/>
      <c r="F42" s="4"/>
      <c r="G42" s="4"/>
    </row>
    <row r="43" spans="1:8" ht="17.25" customHeight="1" x14ac:dyDescent="1">
      <c r="C43" s="1"/>
      <c r="D43" s="2"/>
      <c r="E43" s="3"/>
      <c r="F43" s="4"/>
      <c r="G43" s="4"/>
    </row>
    <row r="44" spans="1:8" ht="17.25" customHeight="1" x14ac:dyDescent="1">
      <c r="C44" s="1"/>
      <c r="D44" s="2"/>
      <c r="E44" s="3"/>
      <c r="F44" s="4"/>
      <c r="G44" s="4"/>
    </row>
    <row r="45" spans="1:8" ht="17.25" customHeight="1" x14ac:dyDescent="1">
      <c r="C45" s="1"/>
      <c r="D45" s="2"/>
      <c r="E45" s="3"/>
      <c r="F45" s="4"/>
      <c r="G45" s="4"/>
    </row>
    <row r="46" spans="1:8" ht="17.25" customHeight="1" x14ac:dyDescent="1">
      <c r="C46" s="1"/>
      <c r="D46" s="2"/>
      <c r="E46" s="3"/>
      <c r="F46" s="4"/>
      <c r="G46" s="4"/>
    </row>
    <row r="47" spans="1:8" ht="17.25" customHeight="1" x14ac:dyDescent="1">
      <c r="C47" s="1"/>
      <c r="D47" s="2"/>
      <c r="E47" s="3"/>
      <c r="F47" s="4"/>
      <c r="G47" s="4"/>
    </row>
    <row r="48" spans="1:8" ht="17.25" customHeight="1" x14ac:dyDescent="1">
      <c r="C48" s="1"/>
      <c r="D48" s="2"/>
      <c r="E48" s="3"/>
      <c r="F48" s="4"/>
      <c r="G48" s="4"/>
    </row>
    <row r="49" spans="3:7" ht="17.25" customHeight="1" x14ac:dyDescent="1">
      <c r="C49" s="1"/>
      <c r="D49" s="2"/>
      <c r="E49" s="3"/>
      <c r="F49" s="4"/>
      <c r="G49" s="4"/>
    </row>
    <row r="50" spans="3:7" ht="17.25" customHeight="1" x14ac:dyDescent="1">
      <c r="C50" s="1"/>
      <c r="D50" s="2"/>
      <c r="E50" s="3"/>
      <c r="F50" s="4"/>
      <c r="G50" s="4"/>
    </row>
    <row r="51" spans="3:7" ht="17.25" customHeight="1" x14ac:dyDescent="1">
      <c r="C51" s="1"/>
      <c r="D51" s="2"/>
      <c r="E51" s="3"/>
      <c r="F51" s="4"/>
      <c r="G51" s="4"/>
    </row>
    <row r="52" spans="3:7" ht="17.25" customHeight="1" x14ac:dyDescent="1">
      <c r="C52" s="1"/>
      <c r="D52" s="2"/>
      <c r="E52" s="3"/>
      <c r="F52" s="4"/>
      <c r="G52" s="4"/>
    </row>
    <row r="53" spans="3:7" ht="17.25" customHeight="1" x14ac:dyDescent="1">
      <c r="C53" s="1"/>
      <c r="D53" s="2"/>
      <c r="E53" s="3"/>
      <c r="F53" s="4"/>
      <c r="G53" s="4"/>
    </row>
    <row r="54" spans="3:7" ht="17.25" customHeight="1" x14ac:dyDescent="1">
      <c r="C54" s="1"/>
      <c r="D54" s="2"/>
      <c r="E54" s="3"/>
      <c r="F54" s="4"/>
      <c r="G54" s="4"/>
    </row>
    <row r="55" spans="3:7" ht="17.25" customHeight="1" x14ac:dyDescent="1">
      <c r="C55" s="1"/>
      <c r="D55" s="2"/>
      <c r="E55" s="3"/>
      <c r="F55" s="4"/>
      <c r="G55" s="4"/>
    </row>
    <row r="56" spans="3:7" ht="17.25" customHeight="1" x14ac:dyDescent="1">
      <c r="C56" s="1"/>
      <c r="D56" s="2"/>
      <c r="E56" s="3"/>
      <c r="F56" s="4"/>
      <c r="G56" s="4"/>
    </row>
    <row r="57" spans="3:7" ht="17.25" customHeight="1" x14ac:dyDescent="1">
      <c r="C57" s="1"/>
      <c r="D57" s="2"/>
      <c r="E57" s="3"/>
      <c r="F57" s="4"/>
      <c r="G57" s="4"/>
    </row>
    <row r="58" spans="3:7" ht="17.25" customHeight="1" x14ac:dyDescent="1">
      <c r="C58" s="1"/>
      <c r="D58" s="2"/>
      <c r="E58" s="3"/>
      <c r="F58" s="4"/>
      <c r="G58" s="4"/>
    </row>
    <row r="59" spans="3:7" ht="17.25" customHeight="1" x14ac:dyDescent="1">
      <c r="C59" s="1"/>
      <c r="D59" s="2"/>
      <c r="E59" s="3"/>
      <c r="F59" s="4"/>
      <c r="G59" s="4"/>
    </row>
    <row r="60" spans="3:7" ht="17.25" customHeight="1" x14ac:dyDescent="1">
      <c r="C60" s="1"/>
      <c r="D60" s="2"/>
      <c r="E60" s="3"/>
      <c r="F60" s="4"/>
      <c r="G60" s="4"/>
    </row>
    <row r="61" spans="3:7" ht="17.25" customHeight="1" x14ac:dyDescent="1">
      <c r="C61" s="1"/>
      <c r="D61" s="2"/>
      <c r="E61" s="3"/>
      <c r="F61" s="4"/>
      <c r="G61" s="4"/>
    </row>
    <row r="62" spans="3:7" ht="17.25" customHeight="1" x14ac:dyDescent="1">
      <c r="C62" s="1"/>
      <c r="D62" s="2"/>
      <c r="E62" s="3"/>
      <c r="F62" s="4"/>
      <c r="G62" s="4"/>
    </row>
    <row r="63" spans="3:7" ht="17.25" customHeight="1" x14ac:dyDescent="1">
      <c r="C63" s="1"/>
      <c r="D63" s="2"/>
      <c r="E63" s="3"/>
      <c r="F63" s="4"/>
      <c r="G63" s="4"/>
    </row>
    <row r="64" spans="3:7" ht="17.25" customHeight="1" x14ac:dyDescent="1">
      <c r="C64" s="1"/>
      <c r="D64" s="2"/>
      <c r="E64" s="3"/>
      <c r="F64" s="4"/>
      <c r="G64" s="4"/>
    </row>
    <row r="65" spans="3:7" ht="17.25" customHeight="1" x14ac:dyDescent="1">
      <c r="C65" s="1"/>
      <c r="D65" s="2"/>
      <c r="E65" s="3"/>
      <c r="F65" s="4"/>
      <c r="G65" s="4"/>
    </row>
    <row r="66" spans="3:7" ht="17.25" customHeight="1" x14ac:dyDescent="1">
      <c r="C66" s="1"/>
      <c r="D66" s="2"/>
      <c r="E66" s="3"/>
      <c r="F66" s="4"/>
      <c r="G66" s="4"/>
    </row>
    <row r="67" spans="3:7" ht="17.25" customHeight="1" x14ac:dyDescent="1">
      <c r="C67" s="1"/>
      <c r="D67" s="2"/>
      <c r="E67" s="3"/>
      <c r="F67" s="4"/>
      <c r="G67" s="4"/>
    </row>
    <row r="68" spans="3:7" ht="17.25" customHeight="1" x14ac:dyDescent="1">
      <c r="C68" s="1"/>
      <c r="D68" s="2"/>
      <c r="E68" s="3"/>
      <c r="F68" s="4"/>
      <c r="G68" s="4"/>
    </row>
    <row r="69" spans="3:7" ht="17.25" customHeight="1" x14ac:dyDescent="1">
      <c r="C69" s="1"/>
      <c r="D69" s="2"/>
      <c r="E69" s="3"/>
      <c r="F69" s="4"/>
      <c r="G69" s="4"/>
    </row>
    <row r="70" spans="3:7" ht="17.25" customHeight="1" x14ac:dyDescent="1">
      <c r="C70" s="1"/>
      <c r="D70" s="2"/>
      <c r="E70" s="3"/>
      <c r="F70" s="4"/>
      <c r="G70" s="4"/>
    </row>
    <row r="71" spans="3:7" ht="17.25" customHeight="1" x14ac:dyDescent="1">
      <c r="C71" s="1"/>
      <c r="D71" s="2"/>
      <c r="E71" s="3"/>
      <c r="F71" s="4"/>
      <c r="G71" s="4"/>
    </row>
    <row r="72" spans="3:7" ht="17.25" customHeight="1" x14ac:dyDescent="1">
      <c r="C72" s="1"/>
      <c r="D72" s="2"/>
      <c r="E72" s="3"/>
      <c r="F72" s="4"/>
      <c r="G72" s="4"/>
    </row>
    <row r="73" spans="3:7" ht="17.25" customHeight="1" x14ac:dyDescent="1">
      <c r="C73" s="1"/>
      <c r="D73" s="2"/>
      <c r="E73" s="3"/>
      <c r="F73" s="4"/>
      <c r="G73" s="4"/>
    </row>
    <row r="74" spans="3:7" ht="17.25" customHeight="1" x14ac:dyDescent="1">
      <c r="C74" s="1"/>
      <c r="D74" s="2"/>
      <c r="E74" s="3"/>
      <c r="F74" s="4"/>
      <c r="G74" s="4"/>
    </row>
    <row r="75" spans="3:7" ht="17.25" customHeight="1" x14ac:dyDescent="1">
      <c r="C75" s="1"/>
      <c r="D75" s="2"/>
      <c r="E75" s="3"/>
      <c r="F75" s="4"/>
      <c r="G75" s="4"/>
    </row>
    <row r="76" spans="3:7" ht="17.25" customHeight="1" x14ac:dyDescent="1">
      <c r="C76" s="1"/>
      <c r="D76" s="2"/>
      <c r="E76" s="3"/>
      <c r="F76" s="4"/>
      <c r="G76" s="4"/>
    </row>
    <row r="77" spans="3:7" ht="17.25" customHeight="1" x14ac:dyDescent="1">
      <c r="C77" s="1"/>
      <c r="D77" s="2"/>
      <c r="E77" s="3"/>
      <c r="F77" s="4"/>
      <c r="G77" s="4"/>
    </row>
    <row r="78" spans="3:7" ht="17.25" customHeight="1" x14ac:dyDescent="1">
      <c r="C78" s="1"/>
      <c r="D78" s="2"/>
      <c r="E78" s="3"/>
      <c r="F78" s="4"/>
      <c r="G78" s="4"/>
    </row>
    <row r="79" spans="3:7" ht="17.25" customHeight="1" x14ac:dyDescent="1">
      <c r="C79" s="1"/>
      <c r="D79" s="2"/>
      <c r="E79" s="3"/>
      <c r="F79" s="4"/>
      <c r="G79" s="4"/>
    </row>
    <row r="80" spans="3:7" ht="17.25" customHeight="1" x14ac:dyDescent="1">
      <c r="C80" s="1"/>
      <c r="D80" s="2"/>
      <c r="E80" s="3"/>
      <c r="F80" s="4"/>
      <c r="G80" s="4"/>
    </row>
    <row r="81" spans="3:7" ht="17.25" customHeight="1" x14ac:dyDescent="1">
      <c r="C81" s="1"/>
      <c r="D81" s="2"/>
      <c r="E81" s="3"/>
      <c r="F81" s="4"/>
      <c r="G81" s="4"/>
    </row>
    <row r="82" spans="3:7" ht="17.25" customHeight="1" x14ac:dyDescent="1">
      <c r="C82" s="1"/>
      <c r="D82" s="2"/>
      <c r="E82" s="3"/>
      <c r="F82" s="4"/>
      <c r="G82" s="4"/>
    </row>
    <row r="83" spans="3:7" ht="17.25" customHeight="1" x14ac:dyDescent="1">
      <c r="C83" s="1"/>
      <c r="D83" s="2"/>
      <c r="E83" s="3"/>
      <c r="F83" s="4"/>
      <c r="G83" s="4"/>
    </row>
    <row r="84" spans="3:7" ht="17.25" customHeight="1" x14ac:dyDescent="1">
      <c r="C84" s="1"/>
      <c r="D84" s="2"/>
      <c r="E84" s="3"/>
      <c r="F84" s="4"/>
      <c r="G84" s="4"/>
    </row>
    <row r="85" spans="3:7" ht="17.25" customHeight="1" x14ac:dyDescent="1">
      <c r="C85" s="1"/>
      <c r="D85" s="2"/>
      <c r="E85" s="3"/>
      <c r="F85" s="4"/>
      <c r="G85" s="4"/>
    </row>
    <row r="86" spans="3:7" ht="17.25" customHeight="1" x14ac:dyDescent="1">
      <c r="C86" s="1"/>
      <c r="D86" s="2"/>
      <c r="E86" s="3"/>
      <c r="F86" s="4"/>
      <c r="G86" s="4"/>
    </row>
    <row r="87" spans="3:7" ht="17.25" customHeight="1" x14ac:dyDescent="1">
      <c r="C87" s="1"/>
      <c r="D87" s="2"/>
      <c r="E87" s="3"/>
      <c r="F87" s="4"/>
      <c r="G87" s="4"/>
    </row>
    <row r="88" spans="3:7" ht="17.25" customHeight="1" x14ac:dyDescent="1">
      <c r="C88" s="1"/>
      <c r="D88" s="2"/>
      <c r="E88" s="3"/>
      <c r="F88" s="4"/>
      <c r="G88" s="4"/>
    </row>
    <row r="89" spans="3:7" ht="17.25" customHeight="1" x14ac:dyDescent="1">
      <c r="C89" s="1"/>
      <c r="D89" s="2"/>
      <c r="E89" s="3"/>
      <c r="F89" s="4"/>
      <c r="G89" s="4"/>
    </row>
    <row r="90" spans="3:7" ht="17.25" customHeight="1" x14ac:dyDescent="1">
      <c r="C90" s="1"/>
      <c r="D90" s="2"/>
      <c r="E90" s="3"/>
      <c r="F90" s="4"/>
      <c r="G90" s="4"/>
    </row>
    <row r="91" spans="3:7" ht="17.25" customHeight="1" x14ac:dyDescent="1">
      <c r="C91" s="1"/>
      <c r="D91" s="2"/>
      <c r="E91" s="3"/>
      <c r="F91" s="4"/>
      <c r="G91" s="4"/>
    </row>
    <row r="92" spans="3:7" ht="17.25" customHeight="1" x14ac:dyDescent="1">
      <c r="C92" s="1"/>
      <c r="D92" s="2"/>
      <c r="E92" s="3"/>
      <c r="F92" s="4"/>
      <c r="G92" s="4"/>
    </row>
    <row r="93" spans="3:7" ht="17.25" customHeight="1" x14ac:dyDescent="1">
      <c r="C93" s="1"/>
      <c r="D93" s="2"/>
      <c r="E93" s="3"/>
      <c r="F93" s="4"/>
      <c r="G93" s="4"/>
    </row>
    <row r="94" spans="3:7" ht="17.25" customHeight="1" x14ac:dyDescent="1">
      <c r="C94" s="1"/>
      <c r="D94" s="2"/>
      <c r="E94" s="3"/>
      <c r="F94" s="4"/>
      <c r="G94" s="4"/>
    </row>
    <row r="95" spans="3:7" ht="17.25" customHeight="1" x14ac:dyDescent="1">
      <c r="C95" s="1"/>
      <c r="D95" s="2"/>
      <c r="E95" s="3"/>
      <c r="F95" s="4"/>
      <c r="G95" s="4"/>
    </row>
    <row r="96" spans="3:7" ht="17.25" customHeight="1" x14ac:dyDescent="1">
      <c r="C96" s="1"/>
      <c r="D96" s="2"/>
      <c r="E96" s="3"/>
      <c r="F96" s="4"/>
      <c r="G96" s="4"/>
    </row>
    <row r="97" spans="3:7" ht="17.25" customHeight="1" x14ac:dyDescent="1">
      <c r="C97" s="1"/>
      <c r="D97" s="2"/>
      <c r="E97" s="3"/>
      <c r="F97" s="4"/>
      <c r="G97" s="4"/>
    </row>
    <row r="98" spans="3:7" ht="17.25" customHeight="1" x14ac:dyDescent="1">
      <c r="C98" s="1"/>
      <c r="D98" s="2"/>
      <c r="E98" s="3"/>
      <c r="F98" s="4"/>
      <c r="G98" s="4"/>
    </row>
    <row r="99" spans="3:7" ht="17.25" customHeight="1" x14ac:dyDescent="1">
      <c r="C99" s="1"/>
      <c r="D99" s="2"/>
      <c r="E99" s="3"/>
      <c r="F99" s="4"/>
      <c r="G99" s="4"/>
    </row>
    <row r="100" spans="3:7" ht="17.25" customHeight="1" x14ac:dyDescent="1">
      <c r="C100" s="1"/>
      <c r="D100" s="2"/>
      <c r="E100" s="3"/>
      <c r="F100" s="4"/>
      <c r="G100" s="4"/>
    </row>
    <row r="101" spans="3:7" ht="17.25" customHeight="1" x14ac:dyDescent="1">
      <c r="C101" s="1"/>
      <c r="D101" s="2"/>
      <c r="E101" s="3"/>
      <c r="F101" s="4"/>
      <c r="G101" s="4"/>
    </row>
    <row r="102" spans="3:7" ht="17.25" customHeight="1" x14ac:dyDescent="1">
      <c r="C102" s="1"/>
      <c r="D102" s="2"/>
      <c r="E102" s="3"/>
      <c r="F102" s="4"/>
      <c r="G102" s="4"/>
    </row>
    <row r="103" spans="3:7" ht="17.25" customHeight="1" x14ac:dyDescent="1">
      <c r="C103" s="1"/>
      <c r="D103" s="2"/>
      <c r="E103" s="3"/>
      <c r="F103" s="4"/>
      <c r="G103" s="4"/>
    </row>
    <row r="104" spans="3:7" ht="17.25" customHeight="1" x14ac:dyDescent="1">
      <c r="C104" s="1"/>
      <c r="D104" s="2"/>
      <c r="E104" s="3"/>
      <c r="F104" s="4"/>
      <c r="G104" s="4"/>
    </row>
    <row r="105" spans="3:7" ht="17.25" customHeight="1" x14ac:dyDescent="1">
      <c r="C105" s="1"/>
      <c r="D105" s="2"/>
      <c r="E105" s="3"/>
      <c r="F105" s="4"/>
      <c r="G105" s="4"/>
    </row>
    <row r="106" spans="3:7" ht="17.25" customHeight="1" x14ac:dyDescent="1">
      <c r="C106" s="1"/>
      <c r="D106" s="2"/>
      <c r="E106" s="3"/>
      <c r="F106" s="4"/>
      <c r="G106" s="4"/>
    </row>
    <row r="107" spans="3:7" ht="17.25" customHeight="1" x14ac:dyDescent="1">
      <c r="C107" s="1"/>
      <c r="D107" s="2"/>
      <c r="E107" s="3"/>
      <c r="F107" s="4"/>
      <c r="G107" s="4"/>
    </row>
    <row r="108" spans="3:7" ht="17.25" customHeight="1" x14ac:dyDescent="1">
      <c r="C108" s="1"/>
      <c r="D108" s="2"/>
      <c r="E108" s="3"/>
      <c r="F108" s="4"/>
      <c r="G108" s="4"/>
    </row>
    <row r="109" spans="3:7" ht="17.25" customHeight="1" x14ac:dyDescent="1">
      <c r="C109" s="1"/>
      <c r="D109" s="2"/>
      <c r="E109" s="3"/>
      <c r="F109" s="4"/>
      <c r="G109" s="4"/>
    </row>
    <row r="110" spans="3:7" ht="17.25" customHeight="1" x14ac:dyDescent="1">
      <c r="C110" s="1"/>
      <c r="D110" s="2"/>
      <c r="E110" s="3"/>
      <c r="F110" s="4"/>
      <c r="G110" s="4"/>
    </row>
    <row r="111" spans="3:7" ht="17.25" customHeight="1" x14ac:dyDescent="1">
      <c r="C111" s="1"/>
      <c r="D111" s="2"/>
      <c r="E111" s="3"/>
      <c r="F111" s="4"/>
      <c r="G111" s="4"/>
    </row>
    <row r="112" spans="3:7" ht="17.25" customHeight="1" x14ac:dyDescent="1">
      <c r="C112" s="1"/>
      <c r="D112" s="2"/>
      <c r="E112" s="3"/>
      <c r="F112" s="4"/>
      <c r="G112" s="4"/>
    </row>
    <row r="113" spans="3:7" ht="17.25" customHeight="1" x14ac:dyDescent="1">
      <c r="C113" s="1"/>
      <c r="D113" s="2"/>
      <c r="E113" s="3"/>
      <c r="F113" s="4"/>
      <c r="G113" s="4"/>
    </row>
    <row r="114" spans="3:7" ht="17.25" customHeight="1" x14ac:dyDescent="1">
      <c r="C114" s="1"/>
      <c r="D114" s="2"/>
      <c r="E114" s="3"/>
      <c r="F114" s="4"/>
      <c r="G114" s="4"/>
    </row>
    <row r="115" spans="3:7" ht="17.25" customHeight="1" x14ac:dyDescent="1">
      <c r="C115" s="1"/>
      <c r="D115" s="2"/>
      <c r="E115" s="3"/>
      <c r="F115" s="4"/>
      <c r="G115" s="4"/>
    </row>
    <row r="116" spans="3:7" ht="17.25" customHeight="1" x14ac:dyDescent="1">
      <c r="C116" s="1"/>
      <c r="D116" s="2"/>
      <c r="E116" s="3"/>
      <c r="F116" s="4"/>
      <c r="G116" s="4"/>
    </row>
    <row r="117" spans="3:7" ht="17.25" customHeight="1" x14ac:dyDescent="1">
      <c r="C117" s="1"/>
      <c r="D117" s="2"/>
      <c r="E117" s="3"/>
      <c r="F117" s="4"/>
      <c r="G117" s="4"/>
    </row>
    <row r="118" spans="3:7" ht="17.25" customHeight="1" x14ac:dyDescent="1">
      <c r="C118" s="1"/>
      <c r="D118" s="2"/>
      <c r="E118" s="3"/>
      <c r="F118" s="4"/>
      <c r="G118" s="4"/>
    </row>
    <row r="119" spans="3:7" ht="17.25" customHeight="1" x14ac:dyDescent="1">
      <c r="C119" s="1"/>
      <c r="D119" s="2"/>
      <c r="E119" s="3"/>
      <c r="F119" s="4"/>
      <c r="G119" s="4"/>
    </row>
    <row r="120" spans="3:7" ht="17.25" customHeight="1" x14ac:dyDescent="1">
      <c r="C120" s="1"/>
      <c r="D120" s="2"/>
      <c r="E120" s="3"/>
      <c r="F120" s="4"/>
      <c r="G120" s="4"/>
    </row>
    <row r="121" spans="3:7" ht="17.25" customHeight="1" x14ac:dyDescent="1">
      <c r="C121" s="1"/>
      <c r="D121" s="2"/>
      <c r="E121" s="3"/>
      <c r="F121" s="4"/>
      <c r="G121" s="4"/>
    </row>
    <row r="122" spans="3:7" ht="17.25" customHeight="1" x14ac:dyDescent="1">
      <c r="C122" s="1"/>
      <c r="D122" s="2"/>
      <c r="E122" s="3"/>
      <c r="F122" s="4"/>
      <c r="G122" s="4"/>
    </row>
    <row r="123" spans="3:7" ht="17.25" customHeight="1" x14ac:dyDescent="1">
      <c r="C123" s="1"/>
      <c r="D123" s="2"/>
      <c r="E123" s="3"/>
      <c r="F123" s="4"/>
      <c r="G123" s="4"/>
    </row>
    <row r="124" spans="3:7" ht="17.25" customHeight="1" x14ac:dyDescent="1">
      <c r="C124" s="1"/>
      <c r="D124" s="2"/>
      <c r="E124" s="3"/>
      <c r="F124" s="4"/>
      <c r="G124" s="4"/>
    </row>
    <row r="125" spans="3:7" ht="17.25" customHeight="1" x14ac:dyDescent="1">
      <c r="C125" s="1"/>
      <c r="D125" s="2"/>
      <c r="E125" s="3"/>
      <c r="F125" s="4"/>
      <c r="G125" s="4"/>
    </row>
    <row r="126" spans="3:7" ht="17.25" customHeight="1" x14ac:dyDescent="1">
      <c r="C126" s="1"/>
      <c r="D126" s="2"/>
      <c r="E126" s="3"/>
      <c r="F126" s="4"/>
      <c r="G126" s="4"/>
    </row>
    <row r="127" spans="3:7" ht="17.25" customHeight="1" x14ac:dyDescent="1">
      <c r="C127" s="1"/>
      <c r="D127" s="2"/>
      <c r="E127" s="3"/>
      <c r="F127" s="4"/>
      <c r="G127" s="4"/>
    </row>
    <row r="128" spans="3:7" ht="17.25" customHeight="1" x14ac:dyDescent="1">
      <c r="C128" s="1"/>
      <c r="D128" s="2"/>
      <c r="E128" s="3"/>
      <c r="F128" s="4"/>
      <c r="G128" s="4"/>
    </row>
    <row r="129" spans="3:7" ht="17.25" customHeight="1" x14ac:dyDescent="1">
      <c r="C129" s="1"/>
      <c r="D129" s="2"/>
      <c r="E129" s="3"/>
      <c r="F129" s="4"/>
      <c r="G129" s="4"/>
    </row>
    <row r="130" spans="3:7" ht="17.25" customHeight="1" x14ac:dyDescent="1">
      <c r="C130" s="1"/>
      <c r="D130" s="2"/>
      <c r="E130" s="3"/>
      <c r="F130" s="4"/>
      <c r="G130" s="4"/>
    </row>
    <row r="131" spans="3:7" ht="17.25" customHeight="1" x14ac:dyDescent="1">
      <c r="C131" s="1"/>
      <c r="D131" s="2"/>
      <c r="E131" s="3"/>
      <c r="F131" s="4"/>
      <c r="G131" s="4"/>
    </row>
    <row r="132" spans="3:7" ht="17.25" customHeight="1" x14ac:dyDescent="1">
      <c r="C132" s="1"/>
      <c r="D132" s="2"/>
      <c r="E132" s="3"/>
      <c r="F132" s="4"/>
      <c r="G132" s="4"/>
    </row>
    <row r="133" spans="3:7" ht="17.25" customHeight="1" x14ac:dyDescent="1">
      <c r="C133" s="1"/>
      <c r="D133" s="2"/>
      <c r="E133" s="3"/>
      <c r="F133" s="4"/>
      <c r="G133" s="4"/>
    </row>
    <row r="134" spans="3:7" ht="17.25" customHeight="1" x14ac:dyDescent="1">
      <c r="C134" s="1"/>
      <c r="D134" s="2"/>
      <c r="E134" s="3"/>
      <c r="F134" s="4"/>
      <c r="G134" s="4"/>
    </row>
    <row r="135" spans="3:7" ht="17.25" customHeight="1" x14ac:dyDescent="1">
      <c r="C135" s="1"/>
      <c r="D135" s="2"/>
      <c r="E135" s="3"/>
      <c r="F135" s="4"/>
      <c r="G135" s="4"/>
    </row>
    <row r="136" spans="3:7" ht="17.25" customHeight="1" x14ac:dyDescent="1">
      <c r="C136" s="1"/>
      <c r="D136" s="2"/>
      <c r="E136" s="3"/>
      <c r="F136" s="4"/>
      <c r="G136" s="4"/>
    </row>
    <row r="137" spans="3:7" ht="17.25" customHeight="1" x14ac:dyDescent="1">
      <c r="C137" s="1"/>
      <c r="D137" s="2"/>
      <c r="E137" s="3"/>
      <c r="F137" s="4"/>
      <c r="G137" s="4"/>
    </row>
    <row r="138" spans="3:7" ht="17.25" customHeight="1" x14ac:dyDescent="1">
      <c r="C138" s="1"/>
      <c r="D138" s="2"/>
      <c r="E138" s="3"/>
      <c r="F138" s="4"/>
      <c r="G138" s="4"/>
    </row>
    <row r="139" spans="3:7" ht="17.25" customHeight="1" x14ac:dyDescent="1">
      <c r="C139" s="1"/>
      <c r="D139" s="2"/>
      <c r="E139" s="3"/>
      <c r="F139" s="4"/>
      <c r="G139" s="4"/>
    </row>
    <row r="140" spans="3:7" ht="17.25" customHeight="1" x14ac:dyDescent="1">
      <c r="C140" s="1"/>
      <c r="D140" s="2"/>
      <c r="E140" s="3"/>
      <c r="F140" s="4"/>
      <c r="G140" s="4"/>
    </row>
    <row r="141" spans="3:7" ht="17.25" customHeight="1" x14ac:dyDescent="1">
      <c r="C141" s="1"/>
      <c r="D141" s="2"/>
      <c r="E141" s="3"/>
      <c r="F141" s="4"/>
      <c r="G141" s="4"/>
    </row>
    <row r="142" spans="3:7" ht="17.25" customHeight="1" x14ac:dyDescent="1">
      <c r="C142" s="1"/>
      <c r="D142" s="2"/>
      <c r="E142" s="3"/>
      <c r="F142" s="4"/>
      <c r="G142" s="4"/>
    </row>
    <row r="143" spans="3:7" ht="17.25" customHeight="1" x14ac:dyDescent="1">
      <c r="C143" s="1"/>
      <c r="D143" s="2"/>
      <c r="E143" s="3"/>
      <c r="F143" s="4"/>
      <c r="G143" s="4"/>
    </row>
    <row r="144" spans="3:7" ht="17.25" customHeight="1" x14ac:dyDescent="1">
      <c r="C144" s="1"/>
      <c r="D144" s="2"/>
      <c r="E144" s="3"/>
      <c r="F144" s="4"/>
      <c r="G144" s="4"/>
    </row>
    <row r="145" spans="3:7" ht="17.25" customHeight="1" x14ac:dyDescent="1">
      <c r="C145" s="1"/>
      <c r="D145" s="2"/>
      <c r="E145" s="3"/>
      <c r="F145" s="4"/>
      <c r="G145" s="4"/>
    </row>
    <row r="146" spans="3:7" ht="17.25" customHeight="1" x14ac:dyDescent="1">
      <c r="C146" s="1"/>
      <c r="D146" s="2"/>
      <c r="E146" s="3"/>
      <c r="F146" s="4"/>
      <c r="G146" s="4"/>
    </row>
    <row r="147" spans="3:7" ht="17.25" customHeight="1" x14ac:dyDescent="1">
      <c r="C147" s="1"/>
      <c r="D147" s="2"/>
      <c r="E147" s="3"/>
      <c r="F147" s="4"/>
      <c r="G147" s="4"/>
    </row>
    <row r="148" spans="3:7" ht="17.25" customHeight="1" x14ac:dyDescent="1">
      <c r="C148" s="1"/>
      <c r="D148" s="2"/>
      <c r="E148" s="3"/>
      <c r="F148" s="4"/>
      <c r="G148" s="4"/>
    </row>
    <row r="149" spans="3:7" ht="17.25" customHeight="1" x14ac:dyDescent="1">
      <c r="C149" s="1"/>
      <c r="D149" s="2"/>
      <c r="E149" s="3"/>
      <c r="F149" s="4"/>
      <c r="G149" s="4"/>
    </row>
    <row r="150" spans="3:7" ht="17.25" customHeight="1" x14ac:dyDescent="1">
      <c r="C150" s="1"/>
      <c r="D150" s="2"/>
      <c r="E150" s="3"/>
      <c r="F150" s="4"/>
      <c r="G150" s="4"/>
    </row>
    <row r="151" spans="3:7" ht="17.25" customHeight="1" x14ac:dyDescent="1">
      <c r="C151" s="1"/>
      <c r="D151" s="2"/>
      <c r="E151" s="3"/>
      <c r="F151" s="4"/>
      <c r="G151" s="4"/>
    </row>
    <row r="152" spans="3:7" ht="17.25" customHeight="1" x14ac:dyDescent="1">
      <c r="C152" s="1"/>
      <c r="D152" s="2"/>
      <c r="E152" s="3"/>
      <c r="F152" s="4"/>
      <c r="G152" s="4"/>
    </row>
    <row r="153" spans="3:7" ht="17.25" customHeight="1" x14ac:dyDescent="1">
      <c r="C153" s="1"/>
      <c r="D153" s="2"/>
      <c r="E153" s="3"/>
      <c r="F153" s="4"/>
      <c r="G153" s="4"/>
    </row>
    <row r="154" spans="3:7" ht="17.25" customHeight="1" x14ac:dyDescent="1">
      <c r="C154" s="1"/>
      <c r="D154" s="2"/>
      <c r="E154" s="3"/>
      <c r="F154" s="4"/>
      <c r="G154" s="4"/>
    </row>
    <row r="155" spans="3:7" ht="17.25" customHeight="1" x14ac:dyDescent="1">
      <c r="C155" s="1"/>
      <c r="D155" s="2"/>
      <c r="E155" s="3"/>
      <c r="F155" s="4"/>
      <c r="G155" s="4"/>
    </row>
    <row r="156" spans="3:7" ht="17.25" customHeight="1" x14ac:dyDescent="1">
      <c r="C156" s="1"/>
      <c r="D156" s="2"/>
      <c r="E156" s="3"/>
      <c r="F156" s="4"/>
      <c r="G156" s="4"/>
    </row>
    <row r="157" spans="3:7" ht="17.25" customHeight="1" x14ac:dyDescent="1">
      <c r="C157" s="1"/>
      <c r="D157" s="2"/>
      <c r="E157" s="3"/>
      <c r="F157" s="4"/>
      <c r="G157" s="4"/>
    </row>
    <row r="158" spans="3:7" ht="17.25" customHeight="1" x14ac:dyDescent="1">
      <c r="C158" s="1"/>
      <c r="D158" s="2"/>
      <c r="E158" s="3"/>
      <c r="F158" s="4"/>
      <c r="G158" s="4"/>
    </row>
    <row r="159" spans="3:7" ht="17.25" customHeight="1" x14ac:dyDescent="1">
      <c r="C159" s="1"/>
      <c r="D159" s="2"/>
      <c r="E159" s="3"/>
      <c r="F159" s="4"/>
      <c r="G159" s="4"/>
    </row>
    <row r="160" spans="3:7" ht="17.25" customHeight="1" x14ac:dyDescent="1">
      <c r="C160" s="1"/>
      <c r="D160" s="2"/>
      <c r="E160" s="3"/>
      <c r="F160" s="4"/>
      <c r="G160" s="4"/>
    </row>
    <row r="161" spans="3:7" ht="17.25" customHeight="1" x14ac:dyDescent="1">
      <c r="C161" s="1"/>
      <c r="D161" s="2"/>
      <c r="E161" s="3"/>
      <c r="F161" s="4"/>
      <c r="G161" s="4"/>
    </row>
    <row r="162" spans="3:7" ht="17.25" customHeight="1" x14ac:dyDescent="1">
      <c r="C162" s="1"/>
      <c r="D162" s="2"/>
      <c r="E162" s="3"/>
      <c r="F162" s="4"/>
      <c r="G162" s="4"/>
    </row>
    <row r="163" spans="3:7" ht="17.25" customHeight="1" x14ac:dyDescent="1">
      <c r="C163" s="1"/>
      <c r="D163" s="2"/>
      <c r="E163" s="3"/>
      <c r="F163" s="4"/>
      <c r="G163" s="4"/>
    </row>
    <row r="164" spans="3:7" ht="17.25" customHeight="1" x14ac:dyDescent="1">
      <c r="C164" s="1"/>
      <c r="D164" s="2"/>
      <c r="E164" s="3"/>
      <c r="F164" s="4"/>
      <c r="G164" s="4"/>
    </row>
    <row r="165" spans="3:7" ht="17.25" customHeight="1" x14ac:dyDescent="1">
      <c r="C165" s="1"/>
      <c r="D165" s="2"/>
      <c r="E165" s="3"/>
      <c r="F165" s="4"/>
      <c r="G165" s="4"/>
    </row>
    <row r="166" spans="3:7" ht="17.25" customHeight="1" x14ac:dyDescent="1">
      <c r="C166" s="1"/>
      <c r="D166" s="2"/>
      <c r="E166" s="3"/>
      <c r="F166" s="4"/>
      <c r="G166" s="4"/>
    </row>
    <row r="167" spans="3:7" ht="17.25" customHeight="1" x14ac:dyDescent="1">
      <c r="C167" s="1"/>
      <c r="D167" s="2"/>
      <c r="E167" s="3"/>
      <c r="F167" s="4"/>
      <c r="G167" s="4"/>
    </row>
    <row r="168" spans="3:7" ht="17.25" customHeight="1" x14ac:dyDescent="1">
      <c r="C168" s="1"/>
      <c r="D168" s="2"/>
      <c r="E168" s="3"/>
      <c r="F168" s="4"/>
      <c r="G168" s="4"/>
    </row>
    <row r="169" spans="3:7" ht="17.25" customHeight="1" x14ac:dyDescent="1">
      <c r="C169" s="1"/>
      <c r="D169" s="2"/>
      <c r="E169" s="3"/>
      <c r="F169" s="4"/>
      <c r="G169" s="4"/>
    </row>
    <row r="170" spans="3:7" ht="17.25" customHeight="1" x14ac:dyDescent="1">
      <c r="C170" s="1"/>
      <c r="D170" s="2"/>
      <c r="E170" s="3"/>
      <c r="F170" s="4"/>
      <c r="G170" s="4"/>
    </row>
    <row r="171" spans="3:7" ht="17.25" customHeight="1" x14ac:dyDescent="1">
      <c r="C171" s="1"/>
      <c r="D171" s="2"/>
      <c r="E171" s="3"/>
      <c r="F171" s="4"/>
      <c r="G171" s="4"/>
    </row>
    <row r="172" spans="3:7" ht="17.25" customHeight="1" x14ac:dyDescent="1">
      <c r="C172" s="1"/>
      <c r="D172" s="2"/>
      <c r="E172" s="3"/>
      <c r="F172" s="4"/>
      <c r="G172" s="4"/>
    </row>
    <row r="173" spans="3:7" ht="17.25" customHeight="1" x14ac:dyDescent="1">
      <c r="C173" s="1"/>
      <c r="D173" s="2"/>
      <c r="E173" s="3"/>
      <c r="F173" s="4"/>
      <c r="G173" s="4"/>
    </row>
    <row r="174" spans="3:7" ht="17.25" customHeight="1" x14ac:dyDescent="1">
      <c r="C174" s="1"/>
      <c r="D174" s="2"/>
      <c r="E174" s="3"/>
      <c r="F174" s="4"/>
      <c r="G174" s="4"/>
    </row>
    <row r="175" spans="3:7" ht="17.25" customHeight="1" x14ac:dyDescent="1">
      <c r="C175" s="1"/>
      <c r="D175" s="2"/>
      <c r="E175" s="3"/>
      <c r="F175" s="4"/>
      <c r="G175" s="4"/>
    </row>
    <row r="176" spans="3:7" ht="17.25" customHeight="1" x14ac:dyDescent="1">
      <c r="C176" s="1"/>
      <c r="D176" s="2"/>
      <c r="E176" s="3"/>
      <c r="F176" s="4"/>
      <c r="G176" s="4"/>
    </row>
    <row r="177" spans="3:7" ht="17.25" customHeight="1" x14ac:dyDescent="1">
      <c r="C177" s="1"/>
      <c r="D177" s="2"/>
      <c r="E177" s="3"/>
      <c r="F177" s="4"/>
      <c r="G177" s="4"/>
    </row>
    <row r="178" spans="3:7" ht="17.25" customHeight="1" x14ac:dyDescent="1">
      <c r="C178" s="1"/>
      <c r="D178" s="2"/>
      <c r="E178" s="3"/>
      <c r="F178" s="4"/>
      <c r="G178" s="4"/>
    </row>
    <row r="179" spans="3:7" ht="17.25" customHeight="1" x14ac:dyDescent="1">
      <c r="C179" s="1"/>
      <c r="D179" s="2"/>
      <c r="E179" s="3"/>
      <c r="F179" s="4"/>
      <c r="G179" s="4"/>
    </row>
    <row r="180" spans="3:7" ht="17.25" customHeight="1" x14ac:dyDescent="1">
      <c r="C180" s="1"/>
      <c r="D180" s="2"/>
      <c r="E180" s="3"/>
      <c r="F180" s="4"/>
      <c r="G180" s="4"/>
    </row>
    <row r="181" spans="3:7" ht="17.25" customHeight="1" x14ac:dyDescent="1">
      <c r="C181" s="1"/>
      <c r="D181" s="2"/>
      <c r="E181" s="3"/>
      <c r="F181" s="4"/>
      <c r="G181" s="4"/>
    </row>
    <row r="182" spans="3:7" ht="17.25" customHeight="1" x14ac:dyDescent="1">
      <c r="C182" s="1"/>
      <c r="D182" s="2"/>
      <c r="E182" s="3"/>
      <c r="F182" s="4"/>
      <c r="G182" s="4"/>
    </row>
    <row r="183" spans="3:7" ht="17.25" customHeight="1" x14ac:dyDescent="1">
      <c r="C183" s="1"/>
      <c r="D183" s="2"/>
      <c r="E183" s="3"/>
      <c r="F183" s="4"/>
      <c r="G183" s="4"/>
    </row>
    <row r="184" spans="3:7" ht="17.25" customHeight="1" x14ac:dyDescent="1">
      <c r="C184" s="1"/>
      <c r="D184" s="2"/>
      <c r="E184" s="3"/>
      <c r="F184" s="4"/>
      <c r="G184" s="4"/>
    </row>
    <row r="185" spans="3:7" ht="17.25" customHeight="1" x14ac:dyDescent="1">
      <c r="C185" s="1"/>
      <c r="D185" s="2"/>
      <c r="E185" s="3"/>
      <c r="F185" s="4"/>
      <c r="G185" s="4"/>
    </row>
    <row r="186" spans="3:7" ht="17.25" customHeight="1" x14ac:dyDescent="1">
      <c r="C186" s="1"/>
      <c r="D186" s="2"/>
      <c r="E186" s="3"/>
      <c r="F186" s="4"/>
      <c r="G186" s="4"/>
    </row>
    <row r="187" spans="3:7" ht="17.25" customHeight="1" x14ac:dyDescent="1">
      <c r="C187" s="1"/>
      <c r="D187" s="2"/>
      <c r="E187" s="3"/>
      <c r="F187" s="4"/>
      <c r="G187" s="4"/>
    </row>
    <row r="188" spans="3:7" ht="17.25" customHeight="1" x14ac:dyDescent="1">
      <c r="C188" s="1"/>
      <c r="D188" s="2"/>
      <c r="E188" s="3"/>
      <c r="F188" s="4"/>
      <c r="G188" s="4"/>
    </row>
    <row r="189" spans="3:7" ht="17.25" customHeight="1" x14ac:dyDescent="1">
      <c r="C189" s="1"/>
      <c r="D189" s="2"/>
      <c r="E189" s="3"/>
      <c r="F189" s="4"/>
      <c r="G189" s="4"/>
    </row>
    <row r="190" spans="3:7" ht="17.25" customHeight="1" x14ac:dyDescent="1">
      <c r="C190" s="1"/>
      <c r="D190" s="2"/>
      <c r="E190" s="3"/>
      <c r="F190" s="4"/>
      <c r="G190" s="4"/>
    </row>
    <row r="191" spans="3:7" ht="17.25" customHeight="1" x14ac:dyDescent="1">
      <c r="C191" s="1"/>
      <c r="D191" s="2"/>
      <c r="E191" s="3"/>
      <c r="F191" s="4"/>
      <c r="G191" s="4"/>
    </row>
    <row r="192" spans="3:7" ht="17.25" customHeight="1" x14ac:dyDescent="1">
      <c r="C192" s="1"/>
      <c r="D192" s="2"/>
      <c r="E192" s="3"/>
      <c r="F192" s="4"/>
      <c r="G192" s="4"/>
    </row>
    <row r="193" spans="3:7" ht="17.25" customHeight="1" x14ac:dyDescent="1">
      <c r="C193" s="1"/>
      <c r="D193" s="2"/>
      <c r="E193" s="3"/>
      <c r="F193" s="4"/>
      <c r="G193" s="4"/>
    </row>
    <row r="194" spans="3:7" ht="17.25" customHeight="1" x14ac:dyDescent="1">
      <c r="C194" s="1"/>
      <c r="D194" s="2"/>
      <c r="E194" s="3"/>
      <c r="F194" s="4"/>
      <c r="G194" s="4"/>
    </row>
    <row r="195" spans="3:7" ht="17.25" customHeight="1" x14ac:dyDescent="1">
      <c r="C195" s="1"/>
      <c r="D195" s="2"/>
      <c r="E195" s="3"/>
      <c r="F195" s="4"/>
      <c r="G195" s="4"/>
    </row>
    <row r="196" spans="3:7" ht="17.25" customHeight="1" x14ac:dyDescent="1">
      <c r="C196" s="1"/>
      <c r="D196" s="2"/>
      <c r="E196" s="3"/>
      <c r="F196" s="4"/>
      <c r="G196" s="4"/>
    </row>
    <row r="197" spans="3:7" ht="17.25" customHeight="1" x14ac:dyDescent="1">
      <c r="C197" s="1"/>
      <c r="D197" s="2"/>
      <c r="E197" s="3"/>
      <c r="F197" s="4"/>
      <c r="G197" s="4"/>
    </row>
    <row r="198" spans="3:7" ht="17.25" customHeight="1" x14ac:dyDescent="1">
      <c r="C198" s="1"/>
      <c r="D198" s="2"/>
      <c r="E198" s="3"/>
      <c r="F198" s="4"/>
      <c r="G198" s="4"/>
    </row>
    <row r="199" spans="3:7" ht="17.25" customHeight="1" x14ac:dyDescent="1">
      <c r="C199" s="1"/>
      <c r="D199" s="2"/>
      <c r="E199" s="3"/>
      <c r="F199" s="4"/>
      <c r="G199" s="4"/>
    </row>
    <row r="200" spans="3:7" ht="17.25" customHeight="1" x14ac:dyDescent="1">
      <c r="C200" s="1"/>
      <c r="D200" s="2"/>
      <c r="E200" s="3"/>
      <c r="F200" s="4"/>
      <c r="G200" s="4"/>
    </row>
    <row r="201" spans="3:7" ht="17.25" customHeight="1" x14ac:dyDescent="1">
      <c r="C201" s="1"/>
      <c r="D201" s="2"/>
      <c r="E201" s="3"/>
      <c r="F201" s="4"/>
      <c r="G201" s="4"/>
    </row>
    <row r="202" spans="3:7" ht="17.25" customHeight="1" x14ac:dyDescent="1">
      <c r="C202" s="1"/>
      <c r="D202" s="2"/>
      <c r="E202" s="3"/>
      <c r="F202" s="4"/>
      <c r="G202" s="4"/>
    </row>
    <row r="203" spans="3:7" ht="17.25" customHeight="1" x14ac:dyDescent="1">
      <c r="C203" s="1"/>
      <c r="D203" s="2"/>
      <c r="E203" s="3"/>
      <c r="F203" s="4"/>
      <c r="G203" s="4"/>
    </row>
    <row r="204" spans="3:7" ht="17.25" customHeight="1" x14ac:dyDescent="1">
      <c r="C204" s="1"/>
      <c r="D204" s="2"/>
      <c r="E204" s="3"/>
      <c r="F204" s="4"/>
      <c r="G204" s="4"/>
    </row>
    <row r="205" spans="3:7" ht="17.25" customHeight="1" x14ac:dyDescent="1">
      <c r="C205" s="1"/>
      <c r="D205" s="2"/>
      <c r="E205" s="3"/>
      <c r="F205" s="4"/>
      <c r="G205" s="4"/>
    </row>
    <row r="206" spans="3:7" ht="17.25" customHeight="1" x14ac:dyDescent="1">
      <c r="C206" s="1"/>
      <c r="D206" s="2"/>
      <c r="E206" s="3"/>
      <c r="F206" s="4"/>
      <c r="G206" s="4"/>
    </row>
    <row r="207" spans="3:7" ht="17.25" customHeight="1" x14ac:dyDescent="1">
      <c r="C207" s="1"/>
      <c r="D207" s="2"/>
      <c r="E207" s="3"/>
      <c r="F207" s="4"/>
      <c r="G207" s="4"/>
    </row>
    <row r="208" spans="3:7" ht="17.25" customHeight="1" x14ac:dyDescent="1">
      <c r="C208" s="1"/>
      <c r="D208" s="2"/>
      <c r="E208" s="3"/>
      <c r="F208" s="4"/>
      <c r="G208" s="4"/>
    </row>
    <row r="209" spans="3:7" ht="17.25" customHeight="1" x14ac:dyDescent="1">
      <c r="C209" s="1"/>
      <c r="D209" s="2"/>
      <c r="E209" s="3"/>
      <c r="F209" s="4"/>
      <c r="G209" s="4"/>
    </row>
    <row r="210" spans="3:7" ht="17.25" customHeight="1" x14ac:dyDescent="1">
      <c r="C210" s="1"/>
      <c r="D210" s="2"/>
      <c r="E210" s="3"/>
      <c r="F210" s="4"/>
      <c r="G210" s="4"/>
    </row>
    <row r="211" spans="3:7" ht="17.25" customHeight="1" x14ac:dyDescent="1">
      <c r="C211" s="1"/>
      <c r="D211" s="2"/>
      <c r="E211" s="3"/>
      <c r="F211" s="4"/>
      <c r="G211" s="4"/>
    </row>
    <row r="212" spans="3:7" ht="17.25" customHeight="1" x14ac:dyDescent="1">
      <c r="C212" s="1"/>
      <c r="D212" s="2"/>
      <c r="E212" s="3"/>
      <c r="F212" s="4"/>
      <c r="G212" s="4"/>
    </row>
    <row r="213" spans="3:7" ht="17.25" customHeight="1" x14ac:dyDescent="1">
      <c r="C213" s="1"/>
      <c r="D213" s="2"/>
      <c r="E213" s="3"/>
      <c r="F213" s="4"/>
      <c r="G213" s="4"/>
    </row>
    <row r="214" spans="3:7" ht="17.25" customHeight="1" x14ac:dyDescent="1">
      <c r="C214" s="1"/>
      <c r="D214" s="2"/>
      <c r="E214" s="3"/>
      <c r="F214" s="4"/>
      <c r="G214" s="4"/>
    </row>
    <row r="215" spans="3:7" ht="17.25" customHeight="1" x14ac:dyDescent="1">
      <c r="C215" s="1"/>
      <c r="D215" s="2"/>
      <c r="E215" s="3"/>
      <c r="F215" s="4"/>
      <c r="G215" s="4"/>
    </row>
    <row r="216" spans="3:7" ht="17.25" customHeight="1" x14ac:dyDescent="1">
      <c r="C216" s="1"/>
      <c r="D216" s="2"/>
      <c r="E216" s="3"/>
      <c r="F216" s="4"/>
      <c r="G216" s="4"/>
    </row>
    <row r="217" spans="3:7" ht="17.25" customHeight="1" x14ac:dyDescent="1">
      <c r="C217" s="1"/>
      <c r="D217" s="2"/>
      <c r="E217" s="3"/>
      <c r="F217" s="4"/>
      <c r="G217" s="4"/>
    </row>
    <row r="218" spans="3:7" ht="17.25" customHeight="1" x14ac:dyDescent="1">
      <c r="C218" s="1"/>
      <c r="D218" s="2"/>
      <c r="E218" s="3"/>
      <c r="F218" s="4"/>
      <c r="G218" s="4"/>
    </row>
    <row r="219" spans="3:7" ht="17.25" customHeight="1" x14ac:dyDescent="1">
      <c r="C219" s="1"/>
      <c r="D219" s="2"/>
      <c r="E219" s="3"/>
      <c r="F219" s="4"/>
      <c r="G219" s="4"/>
    </row>
    <row r="220" spans="3:7" ht="17.25" customHeight="1" x14ac:dyDescent="1">
      <c r="C220" s="1"/>
      <c r="D220" s="2"/>
      <c r="E220" s="3"/>
      <c r="F220" s="4"/>
      <c r="G220" s="4"/>
    </row>
    <row r="221" spans="3:7" ht="17.25" customHeight="1" x14ac:dyDescent="1">
      <c r="C221" s="1"/>
      <c r="D221" s="2"/>
      <c r="E221" s="3"/>
      <c r="F221" s="4"/>
      <c r="G221" s="4"/>
    </row>
    <row r="222" spans="3:7" ht="17.25" customHeight="1" x14ac:dyDescent="1">
      <c r="C222" s="1"/>
      <c r="D222" s="2"/>
      <c r="E222" s="3"/>
      <c r="F222" s="4"/>
      <c r="G222" s="4"/>
    </row>
    <row r="223" spans="3:7" ht="17.25" customHeight="1" x14ac:dyDescent="1">
      <c r="C223" s="1"/>
      <c r="D223" s="2"/>
      <c r="E223" s="3"/>
      <c r="F223" s="4"/>
      <c r="G223" s="4"/>
    </row>
    <row r="224" spans="3:7" ht="17.25" customHeight="1" x14ac:dyDescent="1">
      <c r="C224" s="1"/>
      <c r="D224" s="2"/>
      <c r="E224" s="3"/>
      <c r="F224" s="4"/>
      <c r="G224" s="4"/>
    </row>
    <row r="225" spans="3:7" ht="17.25" customHeight="1" x14ac:dyDescent="1">
      <c r="C225" s="1"/>
      <c r="D225" s="2"/>
      <c r="E225" s="3"/>
      <c r="F225" s="4"/>
      <c r="G225" s="4"/>
    </row>
    <row r="226" spans="3:7" ht="17.25" customHeight="1" x14ac:dyDescent="1">
      <c r="C226" s="1"/>
      <c r="D226" s="2"/>
      <c r="E226" s="3"/>
      <c r="F226" s="4"/>
      <c r="G226" s="4"/>
    </row>
    <row r="227" spans="3:7" ht="17.25" customHeight="1" x14ac:dyDescent="1">
      <c r="C227" s="1"/>
      <c r="D227" s="2"/>
      <c r="E227" s="3"/>
      <c r="F227" s="4"/>
      <c r="G227" s="4"/>
    </row>
    <row r="228" spans="3:7" ht="17.25" customHeight="1" x14ac:dyDescent="1">
      <c r="C228" s="1"/>
      <c r="D228" s="2"/>
      <c r="E228" s="3"/>
      <c r="F228" s="4"/>
      <c r="G228" s="4"/>
    </row>
    <row r="229" spans="3:7" ht="17.25" customHeight="1" x14ac:dyDescent="1">
      <c r="C229" s="1"/>
      <c r="D229" s="2"/>
      <c r="E229" s="3"/>
      <c r="F229" s="4"/>
      <c r="G229" s="4"/>
    </row>
    <row r="230" spans="3:7" ht="17.25" customHeight="1" x14ac:dyDescent="1">
      <c r="C230" s="1"/>
      <c r="D230" s="2"/>
      <c r="E230" s="3"/>
      <c r="F230" s="4"/>
      <c r="G230" s="4"/>
    </row>
    <row r="231" spans="3:7" ht="17.25" customHeight="1" x14ac:dyDescent="1">
      <c r="C231" s="1"/>
      <c r="D231" s="2"/>
      <c r="E231" s="3"/>
      <c r="F231" s="4"/>
      <c r="G231" s="4"/>
    </row>
    <row r="232" spans="3:7" ht="17.25" customHeight="1" x14ac:dyDescent="1">
      <c r="C232" s="1"/>
      <c r="D232" s="2"/>
      <c r="E232" s="3"/>
      <c r="F232" s="4"/>
      <c r="G232" s="4"/>
    </row>
    <row r="233" spans="3:7" ht="17.25" customHeight="1" x14ac:dyDescent="1">
      <c r="C233" s="1"/>
      <c r="D233" s="2"/>
      <c r="E233" s="3"/>
      <c r="F233" s="4"/>
      <c r="G233" s="4"/>
    </row>
    <row r="234" spans="3:7" ht="17.25" customHeight="1" x14ac:dyDescent="1">
      <c r="C234" s="1"/>
      <c r="D234" s="2"/>
      <c r="E234" s="3"/>
      <c r="F234" s="4"/>
      <c r="G234" s="4"/>
    </row>
    <row r="235" spans="3:7" ht="17.25" customHeight="1" x14ac:dyDescent="1">
      <c r="C235" s="1"/>
      <c r="D235" s="2"/>
      <c r="E235" s="3"/>
      <c r="F235" s="4"/>
      <c r="G235" s="4"/>
    </row>
    <row r="236" spans="3:7" ht="17.25" customHeight="1" x14ac:dyDescent="1">
      <c r="C236" s="1"/>
      <c r="D236" s="2"/>
      <c r="E236" s="3"/>
      <c r="F236" s="4"/>
      <c r="G236" s="4"/>
    </row>
    <row r="237" spans="3:7" ht="17.25" customHeight="1" x14ac:dyDescent="1">
      <c r="C237" s="1"/>
      <c r="D237" s="2"/>
      <c r="E237" s="3"/>
      <c r="F237" s="4"/>
      <c r="G237" s="4"/>
    </row>
    <row r="238" spans="3:7" ht="17.25" customHeight="1" x14ac:dyDescent="1">
      <c r="C238" s="1"/>
      <c r="D238" s="2"/>
      <c r="E238" s="3"/>
      <c r="F238" s="4"/>
      <c r="G238" s="4"/>
    </row>
    <row r="239" spans="3:7" ht="17.25" customHeight="1" x14ac:dyDescent="1">
      <c r="C239" s="1"/>
      <c r="D239" s="2"/>
      <c r="E239" s="3"/>
      <c r="F239" s="4"/>
      <c r="G239" s="4"/>
    </row>
    <row r="240" spans="3:7" ht="17.25" customHeight="1" x14ac:dyDescent="1">
      <c r="C240" s="1"/>
      <c r="D240" s="2"/>
      <c r="E240" s="3"/>
      <c r="F240" s="4"/>
      <c r="G240" s="4"/>
    </row>
    <row r="241" spans="3:7" ht="17.25" customHeight="1" x14ac:dyDescent="1">
      <c r="C241" s="1"/>
      <c r="D241" s="2"/>
      <c r="E241" s="3"/>
      <c r="F241" s="4"/>
      <c r="G241" s="4"/>
    </row>
    <row r="242" spans="3:7" ht="17.25" customHeight="1" x14ac:dyDescent="1">
      <c r="C242" s="1"/>
      <c r="D242" s="2"/>
      <c r="E242" s="3"/>
      <c r="F242" s="4"/>
      <c r="G242" s="4"/>
    </row>
    <row r="243" spans="3:7" ht="17.25" customHeight="1" x14ac:dyDescent="1">
      <c r="C243" s="1"/>
      <c r="D243" s="2"/>
      <c r="E243" s="3"/>
      <c r="F243" s="4"/>
      <c r="G243" s="4"/>
    </row>
    <row r="244" spans="3:7" ht="17.25" customHeight="1" x14ac:dyDescent="1">
      <c r="C244" s="1"/>
      <c r="D244" s="2"/>
      <c r="E244" s="3"/>
      <c r="F244" s="4"/>
      <c r="G244" s="4"/>
    </row>
    <row r="245" spans="3:7" ht="17.25" customHeight="1" x14ac:dyDescent="1">
      <c r="C245" s="1"/>
      <c r="D245" s="2"/>
      <c r="E245" s="3"/>
      <c r="F245" s="4"/>
      <c r="G245" s="4"/>
    </row>
    <row r="246" spans="3:7" ht="17.25" customHeight="1" x14ac:dyDescent="1">
      <c r="C246" s="1"/>
      <c r="D246" s="2"/>
      <c r="E246" s="3"/>
      <c r="F246" s="4"/>
      <c r="G246" s="4"/>
    </row>
    <row r="247" spans="3:7" ht="17.25" customHeight="1" x14ac:dyDescent="1">
      <c r="C247" s="1"/>
      <c r="D247" s="2"/>
      <c r="E247" s="3"/>
      <c r="F247" s="4"/>
      <c r="G247" s="4"/>
    </row>
    <row r="248" spans="3:7" ht="17.25" customHeight="1" x14ac:dyDescent="1">
      <c r="C248" s="1"/>
      <c r="D248" s="2"/>
      <c r="E248" s="3"/>
      <c r="F248" s="4"/>
      <c r="G248" s="4"/>
    </row>
    <row r="249" spans="3:7" ht="17.25" customHeight="1" x14ac:dyDescent="1">
      <c r="C249" s="1"/>
      <c r="D249" s="2"/>
      <c r="E249" s="3"/>
      <c r="F249" s="4"/>
      <c r="G249" s="4"/>
    </row>
    <row r="250" spans="3:7" ht="17.25" customHeight="1" x14ac:dyDescent="1">
      <c r="C250" s="1"/>
      <c r="D250" s="2"/>
      <c r="E250" s="3"/>
      <c r="F250" s="4"/>
      <c r="G250" s="4"/>
    </row>
    <row r="251" spans="3:7" ht="17.25" customHeight="1" x14ac:dyDescent="1">
      <c r="C251" s="1"/>
      <c r="D251" s="2"/>
      <c r="E251" s="3"/>
      <c r="F251" s="4"/>
      <c r="G251" s="4"/>
    </row>
    <row r="252" spans="3:7" ht="17.25" customHeight="1" x14ac:dyDescent="1">
      <c r="C252" s="1"/>
      <c r="D252" s="2"/>
      <c r="E252" s="3"/>
      <c r="F252" s="4"/>
      <c r="G252" s="4"/>
    </row>
    <row r="253" spans="3:7" ht="17.25" customHeight="1" x14ac:dyDescent="1">
      <c r="C253" s="1"/>
      <c r="D253" s="2"/>
      <c r="E253" s="3"/>
      <c r="F253" s="4"/>
      <c r="G253" s="4"/>
    </row>
    <row r="254" spans="3:7" ht="17.25" customHeight="1" x14ac:dyDescent="1">
      <c r="C254" s="1"/>
      <c r="D254" s="2"/>
      <c r="E254" s="3"/>
      <c r="F254" s="4"/>
      <c r="G254" s="4"/>
    </row>
    <row r="255" spans="3:7" ht="17.25" customHeight="1" x14ac:dyDescent="1">
      <c r="C255" s="1"/>
      <c r="D255" s="2"/>
      <c r="E255" s="3"/>
      <c r="F255" s="4"/>
      <c r="G255" s="4"/>
    </row>
    <row r="256" spans="3:7" ht="17.25" customHeight="1" x14ac:dyDescent="1">
      <c r="C256" s="1"/>
      <c r="D256" s="2"/>
      <c r="E256" s="3"/>
      <c r="F256" s="4"/>
      <c r="G256" s="4"/>
    </row>
    <row r="257" spans="3:7" ht="17.25" customHeight="1" x14ac:dyDescent="1">
      <c r="C257" s="1"/>
      <c r="D257" s="2"/>
      <c r="E257" s="3"/>
      <c r="F257" s="4"/>
      <c r="G257" s="4"/>
    </row>
    <row r="258" spans="3:7" ht="17.25" customHeight="1" x14ac:dyDescent="1">
      <c r="C258" s="1"/>
      <c r="D258" s="2"/>
      <c r="E258" s="3"/>
      <c r="F258" s="4"/>
      <c r="G258" s="4"/>
    </row>
    <row r="259" spans="3:7" ht="17.25" customHeight="1" x14ac:dyDescent="1">
      <c r="C259" s="1"/>
      <c r="D259" s="2"/>
      <c r="E259" s="3"/>
      <c r="F259" s="4"/>
      <c r="G259" s="4"/>
    </row>
    <row r="260" spans="3:7" ht="17.25" customHeight="1" x14ac:dyDescent="1">
      <c r="C260" s="1"/>
      <c r="D260" s="2"/>
      <c r="E260" s="3"/>
      <c r="F260" s="4"/>
      <c r="G260" s="4"/>
    </row>
    <row r="261" spans="3:7" ht="17.25" customHeight="1" x14ac:dyDescent="1">
      <c r="C261" s="1"/>
      <c r="D261" s="2"/>
      <c r="E261" s="3"/>
      <c r="F261" s="4"/>
      <c r="G261" s="4"/>
    </row>
    <row r="262" spans="3:7" ht="17.25" customHeight="1" x14ac:dyDescent="1">
      <c r="C262" s="1"/>
      <c r="D262" s="2"/>
      <c r="E262" s="3"/>
      <c r="F262" s="4"/>
      <c r="G262" s="4"/>
    </row>
    <row r="263" spans="3:7" ht="17.25" customHeight="1" x14ac:dyDescent="1">
      <c r="C263" s="1"/>
      <c r="D263" s="2"/>
      <c r="E263" s="3"/>
      <c r="F263" s="4"/>
      <c r="G263" s="4"/>
    </row>
    <row r="264" spans="3:7" ht="17.25" customHeight="1" x14ac:dyDescent="1">
      <c r="C264" s="1"/>
      <c r="D264" s="2"/>
      <c r="E264" s="3"/>
      <c r="F264" s="4"/>
      <c r="G264" s="4"/>
    </row>
    <row r="265" spans="3:7" ht="17.25" customHeight="1" x14ac:dyDescent="1">
      <c r="C265" s="1"/>
      <c r="D265" s="2"/>
      <c r="E265" s="3"/>
      <c r="F265" s="4"/>
      <c r="G265" s="4"/>
    </row>
    <row r="266" spans="3:7" ht="17.25" customHeight="1" x14ac:dyDescent="1">
      <c r="C266" s="1"/>
      <c r="D266" s="2"/>
      <c r="E266" s="3"/>
      <c r="F266" s="4"/>
      <c r="G266" s="4"/>
    </row>
    <row r="267" spans="3:7" ht="17.25" customHeight="1" x14ac:dyDescent="1">
      <c r="C267" s="1"/>
      <c r="D267" s="2"/>
      <c r="E267" s="3"/>
      <c r="F267" s="4"/>
      <c r="G267" s="4"/>
    </row>
    <row r="268" spans="3:7" ht="17.25" customHeight="1" x14ac:dyDescent="1">
      <c r="C268" s="1"/>
      <c r="D268" s="2"/>
      <c r="E268" s="3"/>
      <c r="F268" s="4"/>
      <c r="G268" s="4"/>
    </row>
    <row r="269" spans="3:7" ht="17.25" customHeight="1" x14ac:dyDescent="1">
      <c r="C269" s="1"/>
      <c r="D269" s="2"/>
      <c r="E269" s="3"/>
      <c r="F269" s="4"/>
      <c r="G269" s="4"/>
    </row>
    <row r="270" spans="3:7" ht="17.25" customHeight="1" x14ac:dyDescent="1">
      <c r="C270" s="1"/>
      <c r="D270" s="2"/>
      <c r="E270" s="3"/>
      <c r="F270" s="4"/>
      <c r="G270" s="4"/>
    </row>
    <row r="271" spans="3:7" ht="17.25" customHeight="1" x14ac:dyDescent="1">
      <c r="C271" s="1"/>
      <c r="D271" s="2"/>
      <c r="E271" s="3"/>
      <c r="F271" s="4"/>
      <c r="G271" s="4"/>
    </row>
    <row r="272" spans="3:7" ht="17.25" customHeight="1" x14ac:dyDescent="1">
      <c r="C272" s="1"/>
      <c r="D272" s="2"/>
      <c r="E272" s="3"/>
      <c r="F272" s="4"/>
      <c r="G272" s="4"/>
    </row>
    <row r="273" spans="3:7" ht="17.25" customHeight="1" x14ac:dyDescent="1">
      <c r="C273" s="1"/>
      <c r="D273" s="2"/>
      <c r="E273" s="3"/>
      <c r="F273" s="4"/>
      <c r="G273" s="4"/>
    </row>
    <row r="274" spans="3:7" ht="17.25" customHeight="1" x14ac:dyDescent="1">
      <c r="C274" s="1"/>
      <c r="D274" s="2"/>
      <c r="E274" s="3"/>
      <c r="F274" s="4"/>
      <c r="G274" s="4"/>
    </row>
    <row r="275" spans="3:7" ht="17.25" customHeight="1" x14ac:dyDescent="1">
      <c r="C275" s="1"/>
      <c r="D275" s="2"/>
      <c r="E275" s="3"/>
      <c r="F275" s="4"/>
      <c r="G275" s="4"/>
    </row>
    <row r="276" spans="3:7" ht="17.25" customHeight="1" x14ac:dyDescent="1">
      <c r="C276" s="1"/>
      <c r="D276" s="2"/>
      <c r="E276" s="3"/>
      <c r="F276" s="4"/>
      <c r="G276" s="4"/>
    </row>
    <row r="277" spans="3:7" ht="17.25" customHeight="1" x14ac:dyDescent="1">
      <c r="C277" s="1"/>
      <c r="D277" s="2"/>
      <c r="E277" s="3"/>
      <c r="F277" s="4"/>
      <c r="G277" s="4"/>
    </row>
    <row r="278" spans="3:7" ht="17.25" customHeight="1" x14ac:dyDescent="1">
      <c r="C278" s="1"/>
      <c r="D278" s="2"/>
      <c r="E278" s="3"/>
      <c r="F278" s="4"/>
      <c r="G278" s="4"/>
    </row>
    <row r="279" spans="3:7" ht="17.25" customHeight="1" x14ac:dyDescent="1">
      <c r="C279" s="1"/>
      <c r="D279" s="2"/>
      <c r="E279" s="3"/>
      <c r="F279" s="4"/>
      <c r="G279" s="4"/>
    </row>
    <row r="280" spans="3:7" ht="17.25" customHeight="1" x14ac:dyDescent="1">
      <c r="C280" s="1"/>
      <c r="D280" s="2"/>
      <c r="E280" s="3"/>
      <c r="F280" s="4"/>
      <c r="G280" s="4"/>
    </row>
    <row r="281" spans="3:7" ht="17.25" customHeight="1" x14ac:dyDescent="1">
      <c r="C281" s="1"/>
      <c r="D281" s="2"/>
      <c r="E281" s="3"/>
      <c r="F281" s="4"/>
      <c r="G281" s="4"/>
    </row>
    <row r="282" spans="3:7" ht="17.25" customHeight="1" x14ac:dyDescent="1">
      <c r="C282" s="1"/>
      <c r="D282" s="2"/>
      <c r="E282" s="3"/>
      <c r="F282" s="4"/>
      <c r="G282" s="4"/>
    </row>
    <row r="283" spans="3:7" ht="17.25" customHeight="1" x14ac:dyDescent="1">
      <c r="C283" s="1"/>
      <c r="D283" s="2"/>
      <c r="E283" s="3"/>
      <c r="F283" s="4"/>
      <c r="G283" s="4"/>
    </row>
    <row r="284" spans="3:7" ht="17.25" customHeight="1" x14ac:dyDescent="1">
      <c r="C284" s="1"/>
      <c r="D284" s="2"/>
      <c r="E284" s="3"/>
      <c r="F284" s="4"/>
      <c r="G284" s="4"/>
    </row>
    <row r="285" spans="3:7" ht="17.25" customHeight="1" x14ac:dyDescent="1">
      <c r="C285" s="1"/>
      <c r="D285" s="2"/>
      <c r="E285" s="3"/>
      <c r="F285" s="4"/>
      <c r="G285" s="4"/>
    </row>
    <row r="286" spans="3:7" ht="17.25" customHeight="1" x14ac:dyDescent="1">
      <c r="C286" s="1"/>
      <c r="D286" s="2"/>
      <c r="E286" s="3"/>
      <c r="F286" s="4"/>
      <c r="G286" s="4"/>
    </row>
    <row r="287" spans="3:7" ht="17.25" customHeight="1" x14ac:dyDescent="1">
      <c r="C287" s="1"/>
      <c r="D287" s="2"/>
      <c r="E287" s="3"/>
      <c r="F287" s="4"/>
      <c r="G287" s="4"/>
    </row>
    <row r="288" spans="3:7" ht="17.25" customHeight="1" x14ac:dyDescent="1">
      <c r="C288" s="1"/>
      <c r="D288" s="2"/>
      <c r="E288" s="3"/>
      <c r="F288" s="4"/>
      <c r="G288" s="4"/>
    </row>
    <row r="289" spans="3:7" ht="17.25" customHeight="1" x14ac:dyDescent="1">
      <c r="C289" s="1"/>
      <c r="D289" s="2"/>
      <c r="E289" s="3"/>
      <c r="F289" s="4"/>
      <c r="G289" s="4"/>
    </row>
    <row r="290" spans="3:7" ht="17.25" customHeight="1" x14ac:dyDescent="1">
      <c r="C290" s="1"/>
      <c r="D290" s="2"/>
      <c r="E290" s="3"/>
      <c r="F290" s="4"/>
      <c r="G290" s="4"/>
    </row>
    <row r="291" spans="3:7" ht="17.25" customHeight="1" x14ac:dyDescent="1">
      <c r="C291" s="1"/>
      <c r="D291" s="2"/>
      <c r="E291" s="3"/>
      <c r="F291" s="4"/>
      <c r="G291" s="4"/>
    </row>
    <row r="292" spans="3:7" ht="17.25" customHeight="1" x14ac:dyDescent="1">
      <c r="C292" s="1"/>
      <c r="D292" s="2"/>
      <c r="E292" s="3"/>
      <c r="F292" s="4"/>
      <c r="G292" s="4"/>
    </row>
    <row r="293" spans="3:7" ht="17.25" customHeight="1" x14ac:dyDescent="1">
      <c r="C293" s="1"/>
      <c r="D293" s="2"/>
      <c r="E293" s="3"/>
      <c r="F293" s="4"/>
      <c r="G293" s="4"/>
    </row>
    <row r="294" spans="3:7" ht="17.25" customHeight="1" x14ac:dyDescent="1">
      <c r="C294" s="1"/>
      <c r="D294" s="2"/>
      <c r="E294" s="3"/>
      <c r="F294" s="4"/>
      <c r="G294" s="4"/>
    </row>
    <row r="295" spans="3:7" ht="17.25" customHeight="1" x14ac:dyDescent="1">
      <c r="C295" s="1"/>
      <c r="D295" s="2"/>
      <c r="E295" s="3"/>
      <c r="F295" s="4"/>
      <c r="G295" s="4"/>
    </row>
    <row r="296" spans="3:7" ht="17.25" customHeight="1" x14ac:dyDescent="1">
      <c r="C296" s="1"/>
      <c r="D296" s="2"/>
      <c r="E296" s="3"/>
      <c r="F296" s="4"/>
      <c r="G296" s="4"/>
    </row>
    <row r="297" spans="3:7" ht="17.25" customHeight="1" x14ac:dyDescent="1">
      <c r="C297" s="1"/>
      <c r="D297" s="2"/>
      <c r="E297" s="3"/>
      <c r="F297" s="4"/>
      <c r="G297" s="4"/>
    </row>
    <row r="298" spans="3:7" ht="17.25" customHeight="1" x14ac:dyDescent="1">
      <c r="C298" s="1"/>
      <c r="D298" s="2"/>
      <c r="E298" s="3"/>
      <c r="F298" s="4"/>
      <c r="G298" s="4"/>
    </row>
    <row r="299" spans="3:7" ht="17.25" customHeight="1" x14ac:dyDescent="1">
      <c r="C299" s="1"/>
      <c r="D299" s="2"/>
      <c r="E299" s="3"/>
      <c r="F299" s="4"/>
      <c r="G299" s="4"/>
    </row>
    <row r="300" spans="3:7" ht="17.25" customHeight="1" x14ac:dyDescent="1">
      <c r="C300" s="1"/>
      <c r="D300" s="2"/>
      <c r="E300" s="3"/>
      <c r="F300" s="4"/>
      <c r="G300" s="4"/>
    </row>
    <row r="301" spans="3:7" ht="17.25" customHeight="1" x14ac:dyDescent="1">
      <c r="C301" s="1"/>
      <c r="D301" s="2"/>
      <c r="E301" s="3"/>
      <c r="F301" s="4"/>
      <c r="G301" s="4"/>
    </row>
    <row r="302" spans="3:7" ht="17.25" customHeight="1" x14ac:dyDescent="1">
      <c r="C302" s="1"/>
      <c r="D302" s="2"/>
      <c r="E302" s="3"/>
      <c r="F302" s="4"/>
      <c r="G302" s="4"/>
    </row>
    <row r="303" spans="3:7" ht="17.25" customHeight="1" x14ac:dyDescent="1">
      <c r="C303" s="1"/>
      <c r="D303" s="2"/>
      <c r="E303" s="3"/>
      <c r="F303" s="4"/>
      <c r="G303" s="4"/>
    </row>
    <row r="304" spans="3:7" ht="17.25" customHeight="1" x14ac:dyDescent="1">
      <c r="C304" s="1"/>
      <c r="D304" s="2"/>
      <c r="E304" s="3"/>
      <c r="F304" s="4"/>
      <c r="G304" s="4"/>
    </row>
    <row r="305" spans="3:7" ht="17.25" customHeight="1" x14ac:dyDescent="1">
      <c r="C305" s="1"/>
      <c r="D305" s="2"/>
      <c r="E305" s="3"/>
      <c r="F305" s="4"/>
      <c r="G305" s="4"/>
    </row>
    <row r="306" spans="3:7" ht="17.25" customHeight="1" x14ac:dyDescent="1">
      <c r="C306" s="1"/>
      <c r="D306" s="2"/>
      <c r="E306" s="3"/>
      <c r="F306" s="4"/>
      <c r="G306" s="4"/>
    </row>
    <row r="307" spans="3:7" ht="17.25" customHeight="1" x14ac:dyDescent="1">
      <c r="C307" s="1"/>
      <c r="D307" s="2"/>
      <c r="E307" s="3"/>
      <c r="F307" s="4"/>
      <c r="G307" s="4"/>
    </row>
    <row r="308" spans="3:7" ht="17.25" customHeight="1" x14ac:dyDescent="1">
      <c r="C308" s="1"/>
      <c r="D308" s="2"/>
      <c r="E308" s="3"/>
      <c r="F308" s="4"/>
      <c r="G308" s="4"/>
    </row>
    <row r="309" spans="3:7" ht="17.25" customHeight="1" x14ac:dyDescent="1">
      <c r="C309" s="1"/>
      <c r="D309" s="2"/>
      <c r="E309" s="3"/>
      <c r="F309" s="4"/>
      <c r="G309" s="4"/>
    </row>
    <row r="310" spans="3:7" ht="17.25" customHeight="1" x14ac:dyDescent="1">
      <c r="C310" s="1"/>
      <c r="D310" s="2"/>
      <c r="E310" s="3"/>
      <c r="F310" s="4"/>
      <c r="G310" s="4"/>
    </row>
    <row r="311" spans="3:7" ht="17.25" customHeight="1" x14ac:dyDescent="1">
      <c r="C311" s="1"/>
      <c r="D311" s="2"/>
      <c r="E311" s="3"/>
      <c r="F311" s="4"/>
      <c r="G311" s="4"/>
    </row>
    <row r="312" spans="3:7" ht="17.25" customHeight="1" x14ac:dyDescent="1">
      <c r="C312" s="1"/>
      <c r="D312" s="2"/>
      <c r="E312" s="3"/>
      <c r="F312" s="4"/>
      <c r="G312" s="4"/>
    </row>
    <row r="313" spans="3:7" ht="17.25" customHeight="1" x14ac:dyDescent="1">
      <c r="C313" s="1"/>
      <c r="D313" s="2"/>
      <c r="E313" s="3"/>
      <c r="F313" s="4"/>
      <c r="G313" s="4"/>
    </row>
    <row r="314" spans="3:7" ht="17.25" customHeight="1" x14ac:dyDescent="1">
      <c r="C314" s="1"/>
      <c r="D314" s="2"/>
      <c r="E314" s="3"/>
      <c r="F314" s="4"/>
      <c r="G314" s="4"/>
    </row>
    <row r="315" spans="3:7" ht="17.25" customHeight="1" x14ac:dyDescent="1">
      <c r="C315" s="1"/>
      <c r="D315" s="2"/>
      <c r="E315" s="3"/>
      <c r="F315" s="4"/>
      <c r="G315" s="4"/>
    </row>
    <row r="316" spans="3:7" ht="17.25" customHeight="1" x14ac:dyDescent="1">
      <c r="C316" s="1"/>
      <c r="D316" s="2"/>
      <c r="E316" s="3"/>
      <c r="F316" s="4"/>
      <c r="G316" s="4"/>
    </row>
    <row r="317" spans="3:7" ht="17.25" customHeight="1" x14ac:dyDescent="1">
      <c r="C317" s="1"/>
      <c r="D317" s="2"/>
      <c r="E317" s="3"/>
      <c r="F317" s="4"/>
      <c r="G317" s="4"/>
    </row>
    <row r="318" spans="3:7" ht="17.25" customHeight="1" x14ac:dyDescent="1">
      <c r="C318" s="1"/>
      <c r="D318" s="2"/>
      <c r="E318" s="3"/>
      <c r="F318" s="4"/>
      <c r="G318" s="4"/>
    </row>
    <row r="319" spans="3:7" ht="17.25" customHeight="1" x14ac:dyDescent="1">
      <c r="C319" s="1"/>
      <c r="D319" s="2"/>
      <c r="E319" s="3"/>
      <c r="F319" s="4"/>
      <c r="G319" s="4"/>
    </row>
    <row r="320" spans="3:7" ht="17.25" customHeight="1" x14ac:dyDescent="1">
      <c r="C320" s="1"/>
      <c r="D320" s="2"/>
      <c r="E320" s="3"/>
      <c r="F320" s="4"/>
      <c r="G320" s="4"/>
    </row>
    <row r="321" spans="3:7" ht="17.25" customHeight="1" x14ac:dyDescent="1">
      <c r="C321" s="1"/>
      <c r="D321" s="2"/>
      <c r="E321" s="3"/>
      <c r="F321" s="4"/>
      <c r="G321" s="4"/>
    </row>
    <row r="322" spans="3:7" ht="17.25" customHeight="1" x14ac:dyDescent="1">
      <c r="C322" s="1"/>
      <c r="D322" s="2"/>
      <c r="E322" s="3"/>
      <c r="F322" s="4"/>
      <c r="G322" s="4"/>
    </row>
    <row r="323" spans="3:7" ht="17.25" customHeight="1" x14ac:dyDescent="1">
      <c r="C323" s="1"/>
      <c r="D323" s="2"/>
      <c r="E323" s="3"/>
      <c r="F323" s="4"/>
      <c r="G323" s="4"/>
    </row>
    <row r="324" spans="3:7" ht="17.25" customHeight="1" x14ac:dyDescent="1">
      <c r="C324" s="1"/>
      <c r="D324" s="2"/>
      <c r="E324" s="3"/>
      <c r="F324" s="4"/>
      <c r="G324" s="4"/>
    </row>
    <row r="325" spans="3:7" ht="17.25" customHeight="1" x14ac:dyDescent="1">
      <c r="C325" s="1"/>
      <c r="D325" s="2"/>
      <c r="E325" s="3"/>
      <c r="F325" s="4"/>
      <c r="G325" s="4"/>
    </row>
    <row r="326" spans="3:7" ht="17.25" customHeight="1" x14ac:dyDescent="1">
      <c r="C326" s="1"/>
      <c r="D326" s="2"/>
      <c r="E326" s="3"/>
      <c r="F326" s="4"/>
      <c r="G326" s="4"/>
    </row>
    <row r="327" spans="3:7" ht="17.25" customHeight="1" x14ac:dyDescent="1">
      <c r="C327" s="1"/>
      <c r="D327" s="2"/>
      <c r="E327" s="3"/>
      <c r="F327" s="4"/>
      <c r="G327" s="4"/>
    </row>
    <row r="328" spans="3:7" ht="17.25" customHeight="1" x14ac:dyDescent="1">
      <c r="C328" s="1"/>
      <c r="D328" s="2"/>
      <c r="E328" s="3"/>
      <c r="F328" s="4"/>
      <c r="G328" s="4"/>
    </row>
    <row r="329" spans="3:7" ht="17.25" customHeight="1" x14ac:dyDescent="1">
      <c r="C329" s="1"/>
      <c r="D329" s="2"/>
      <c r="E329" s="3"/>
      <c r="F329" s="4"/>
      <c r="G329" s="4"/>
    </row>
    <row r="330" spans="3:7" ht="17.25" customHeight="1" x14ac:dyDescent="1">
      <c r="C330" s="1"/>
      <c r="D330" s="2"/>
      <c r="E330" s="3"/>
      <c r="F330" s="4"/>
      <c r="G330" s="4"/>
    </row>
    <row r="331" spans="3:7" ht="17.25" customHeight="1" x14ac:dyDescent="1">
      <c r="C331" s="1"/>
      <c r="D331" s="2"/>
      <c r="E331" s="3"/>
      <c r="F331" s="4"/>
      <c r="G331" s="4"/>
    </row>
    <row r="332" spans="3:7" ht="17.25" customHeight="1" x14ac:dyDescent="1">
      <c r="C332" s="1"/>
      <c r="D332" s="2"/>
      <c r="E332" s="3"/>
      <c r="F332" s="4"/>
      <c r="G332" s="4"/>
    </row>
    <row r="333" spans="3:7" ht="17.25" customHeight="1" x14ac:dyDescent="1">
      <c r="C333" s="1"/>
      <c r="D333" s="2"/>
      <c r="E333" s="3"/>
      <c r="F333" s="4"/>
      <c r="G333" s="4"/>
    </row>
    <row r="334" spans="3:7" ht="17.25" customHeight="1" x14ac:dyDescent="1">
      <c r="C334" s="1"/>
      <c r="D334" s="2"/>
      <c r="E334" s="3"/>
      <c r="F334" s="4"/>
      <c r="G334" s="4"/>
    </row>
    <row r="335" spans="3:7" ht="17.25" customHeight="1" x14ac:dyDescent="1">
      <c r="C335" s="1"/>
      <c r="D335" s="2"/>
      <c r="E335" s="3"/>
      <c r="F335" s="4"/>
      <c r="G335" s="4"/>
    </row>
    <row r="336" spans="3:7" ht="17.25" customHeight="1" x14ac:dyDescent="1">
      <c r="C336" s="1"/>
      <c r="D336" s="2"/>
      <c r="E336" s="3"/>
      <c r="F336" s="4"/>
      <c r="G336" s="4"/>
    </row>
    <row r="337" spans="3:7" ht="17.25" customHeight="1" x14ac:dyDescent="1">
      <c r="C337" s="1"/>
      <c r="D337" s="2"/>
      <c r="E337" s="3"/>
      <c r="F337" s="4"/>
      <c r="G337" s="4"/>
    </row>
    <row r="338" spans="3:7" ht="17.25" customHeight="1" x14ac:dyDescent="1">
      <c r="C338" s="1"/>
      <c r="D338" s="2"/>
      <c r="E338" s="3"/>
      <c r="F338" s="4"/>
      <c r="G338" s="4"/>
    </row>
    <row r="339" spans="3:7" ht="17.25" customHeight="1" x14ac:dyDescent="1">
      <c r="C339" s="1"/>
      <c r="D339" s="2"/>
      <c r="E339" s="3"/>
      <c r="F339" s="4"/>
      <c r="G339" s="4"/>
    </row>
    <row r="340" spans="3:7" ht="17.25" customHeight="1" x14ac:dyDescent="1">
      <c r="C340" s="1"/>
      <c r="D340" s="2"/>
      <c r="E340" s="3"/>
      <c r="F340" s="4"/>
      <c r="G340" s="4"/>
    </row>
    <row r="341" spans="3:7" ht="17.25" customHeight="1" x14ac:dyDescent="1">
      <c r="C341" s="1"/>
      <c r="D341" s="2"/>
      <c r="E341" s="3"/>
      <c r="F341" s="4"/>
      <c r="G341" s="4"/>
    </row>
    <row r="342" spans="3:7" ht="17.25" customHeight="1" x14ac:dyDescent="1">
      <c r="C342" s="1"/>
      <c r="D342" s="2"/>
      <c r="E342" s="3"/>
      <c r="F342" s="4"/>
      <c r="G342" s="4"/>
    </row>
    <row r="343" spans="3:7" ht="17.25" customHeight="1" x14ac:dyDescent="1">
      <c r="C343" s="1"/>
      <c r="D343" s="2"/>
      <c r="E343" s="3"/>
      <c r="F343" s="4"/>
      <c r="G343" s="4"/>
    </row>
    <row r="344" spans="3:7" ht="17.25" customHeight="1" x14ac:dyDescent="1">
      <c r="C344" s="1"/>
      <c r="D344" s="2"/>
      <c r="E344" s="3"/>
      <c r="F344" s="4"/>
      <c r="G344" s="4"/>
    </row>
    <row r="345" spans="3:7" ht="17.25" customHeight="1" x14ac:dyDescent="1">
      <c r="C345" s="1"/>
      <c r="D345" s="2"/>
      <c r="E345" s="3"/>
      <c r="F345" s="4"/>
      <c r="G345" s="4"/>
    </row>
    <row r="346" spans="3:7" ht="17.25" customHeight="1" x14ac:dyDescent="1">
      <c r="C346" s="1"/>
      <c r="D346" s="2"/>
      <c r="E346" s="3"/>
      <c r="F346" s="4"/>
      <c r="G346" s="4"/>
    </row>
    <row r="347" spans="3:7" ht="17.25" customHeight="1" x14ac:dyDescent="1">
      <c r="C347" s="1"/>
      <c r="D347" s="2"/>
      <c r="E347" s="3"/>
      <c r="F347" s="4"/>
      <c r="G347" s="4"/>
    </row>
    <row r="348" spans="3:7" ht="17.25" customHeight="1" x14ac:dyDescent="1">
      <c r="C348" s="1"/>
      <c r="D348" s="2"/>
      <c r="E348" s="3"/>
      <c r="F348" s="4"/>
      <c r="G348" s="4"/>
    </row>
    <row r="349" spans="3:7" ht="17.25" customHeight="1" x14ac:dyDescent="1">
      <c r="C349" s="1"/>
      <c r="D349" s="2"/>
      <c r="E349" s="3"/>
      <c r="F349" s="4"/>
      <c r="G349" s="4"/>
    </row>
    <row r="350" spans="3:7" ht="17.25" customHeight="1" x14ac:dyDescent="1">
      <c r="C350" s="1"/>
      <c r="D350" s="2"/>
      <c r="E350" s="3"/>
      <c r="F350" s="4"/>
      <c r="G350" s="4"/>
    </row>
    <row r="351" spans="3:7" ht="17.25" customHeight="1" x14ac:dyDescent="1">
      <c r="C351" s="1"/>
      <c r="D351" s="2"/>
      <c r="E351" s="3"/>
      <c r="F351" s="4"/>
      <c r="G351" s="4"/>
    </row>
    <row r="352" spans="3:7" ht="17.25" customHeight="1" x14ac:dyDescent="1">
      <c r="C352" s="1"/>
      <c r="D352" s="2"/>
      <c r="E352" s="3"/>
      <c r="F352" s="4"/>
      <c r="G352" s="4"/>
    </row>
    <row r="353" spans="3:7" ht="17.25" customHeight="1" x14ac:dyDescent="1">
      <c r="C353" s="1"/>
      <c r="D353" s="2"/>
      <c r="E353" s="3"/>
      <c r="F353" s="4"/>
      <c r="G353" s="4"/>
    </row>
    <row r="354" spans="3:7" ht="17.25" customHeight="1" x14ac:dyDescent="1">
      <c r="C354" s="1"/>
      <c r="D354" s="2"/>
      <c r="E354" s="3"/>
      <c r="F354" s="4"/>
      <c r="G354" s="4"/>
    </row>
    <row r="355" spans="3:7" ht="17.25" customHeight="1" x14ac:dyDescent="1">
      <c r="C355" s="1"/>
      <c r="D355" s="2"/>
      <c r="E355" s="3"/>
      <c r="F355" s="4"/>
      <c r="G355" s="4"/>
    </row>
    <row r="356" spans="3:7" ht="17.25" customHeight="1" x14ac:dyDescent="1">
      <c r="C356" s="1"/>
      <c r="D356" s="2"/>
      <c r="E356" s="3"/>
      <c r="F356" s="4"/>
      <c r="G356" s="4"/>
    </row>
    <row r="357" spans="3:7" ht="17.25" customHeight="1" x14ac:dyDescent="1">
      <c r="C357" s="1"/>
      <c r="D357" s="2"/>
      <c r="E357" s="3"/>
      <c r="F357" s="4"/>
      <c r="G357" s="4"/>
    </row>
    <row r="358" spans="3:7" ht="17.25" customHeight="1" x14ac:dyDescent="1">
      <c r="C358" s="1"/>
      <c r="D358" s="2"/>
      <c r="E358" s="3"/>
      <c r="F358" s="4"/>
      <c r="G358" s="4"/>
    </row>
    <row r="359" spans="3:7" ht="17.25" customHeight="1" x14ac:dyDescent="1">
      <c r="C359" s="1"/>
      <c r="D359" s="2"/>
      <c r="E359" s="3"/>
      <c r="F359" s="4"/>
      <c r="G359" s="4"/>
    </row>
    <row r="360" spans="3:7" ht="17.25" customHeight="1" x14ac:dyDescent="1">
      <c r="C360" s="1"/>
      <c r="D360" s="2"/>
      <c r="E360" s="3"/>
      <c r="F360" s="4"/>
      <c r="G360" s="4"/>
    </row>
    <row r="361" spans="3:7" ht="17.25" customHeight="1" x14ac:dyDescent="1">
      <c r="C361" s="1"/>
      <c r="D361" s="2"/>
      <c r="E361" s="3"/>
      <c r="F361" s="4"/>
      <c r="G361" s="4"/>
    </row>
    <row r="362" spans="3:7" ht="17.25" customHeight="1" x14ac:dyDescent="1">
      <c r="C362" s="1"/>
      <c r="D362" s="2"/>
      <c r="E362" s="3"/>
      <c r="F362" s="4"/>
      <c r="G362" s="4"/>
    </row>
    <row r="363" spans="3:7" ht="17.25" customHeight="1" x14ac:dyDescent="1">
      <c r="C363" s="1"/>
      <c r="D363" s="2"/>
      <c r="E363" s="3"/>
      <c r="F363" s="4"/>
      <c r="G363" s="4"/>
    </row>
    <row r="364" spans="3:7" ht="17.25" customHeight="1" x14ac:dyDescent="1">
      <c r="C364" s="1"/>
      <c r="D364" s="2"/>
      <c r="E364" s="3"/>
      <c r="F364" s="4"/>
      <c r="G364" s="4"/>
    </row>
    <row r="365" spans="3:7" ht="17.25" customHeight="1" x14ac:dyDescent="1">
      <c r="C365" s="1"/>
      <c r="D365" s="2"/>
      <c r="E365" s="3"/>
      <c r="F365" s="4"/>
      <c r="G365" s="4"/>
    </row>
    <row r="366" spans="3:7" ht="17.25" customHeight="1" x14ac:dyDescent="1">
      <c r="C366" s="1"/>
      <c r="D366" s="2"/>
      <c r="E366" s="3"/>
      <c r="F366" s="4"/>
      <c r="G366" s="4"/>
    </row>
    <row r="367" spans="3:7" ht="17.25" customHeight="1" x14ac:dyDescent="1">
      <c r="C367" s="1"/>
      <c r="D367" s="2"/>
      <c r="E367" s="3"/>
      <c r="F367" s="4"/>
      <c r="G367" s="4"/>
    </row>
    <row r="368" spans="3:7" ht="17.25" customHeight="1" x14ac:dyDescent="1">
      <c r="C368" s="1"/>
      <c r="D368" s="2"/>
      <c r="E368" s="3"/>
      <c r="F368" s="4"/>
      <c r="G368" s="4"/>
    </row>
    <row r="369" spans="3:7" ht="17.25" customHeight="1" x14ac:dyDescent="1">
      <c r="C369" s="1"/>
      <c r="D369" s="2"/>
      <c r="E369" s="3"/>
      <c r="F369" s="4"/>
      <c r="G369" s="4"/>
    </row>
    <row r="370" spans="3:7" ht="17.25" customHeight="1" x14ac:dyDescent="1">
      <c r="C370" s="1"/>
      <c r="D370" s="2"/>
      <c r="E370" s="3"/>
      <c r="F370" s="4"/>
      <c r="G370" s="4"/>
    </row>
    <row r="371" spans="3:7" ht="17.25" customHeight="1" x14ac:dyDescent="1">
      <c r="C371" s="1"/>
      <c r="D371" s="2"/>
      <c r="E371" s="3"/>
      <c r="F371" s="4"/>
      <c r="G371" s="4"/>
    </row>
    <row r="372" spans="3:7" ht="17.25" customHeight="1" x14ac:dyDescent="1">
      <c r="C372" s="1"/>
      <c r="D372" s="2"/>
      <c r="E372" s="3"/>
      <c r="F372" s="4"/>
      <c r="G372" s="4"/>
    </row>
    <row r="373" spans="3:7" ht="17.25" customHeight="1" x14ac:dyDescent="1">
      <c r="C373" s="1"/>
      <c r="D373" s="2"/>
      <c r="E373" s="3"/>
      <c r="F373" s="4"/>
      <c r="G373" s="4"/>
    </row>
    <row r="374" spans="3:7" ht="17.25" customHeight="1" x14ac:dyDescent="1">
      <c r="C374" s="1"/>
      <c r="D374" s="2"/>
      <c r="E374" s="3"/>
      <c r="F374" s="4"/>
      <c r="G374" s="4"/>
    </row>
    <row r="375" spans="3:7" ht="17.25" customHeight="1" x14ac:dyDescent="1">
      <c r="C375" s="1"/>
      <c r="D375" s="2"/>
      <c r="E375" s="3"/>
      <c r="F375" s="4"/>
      <c r="G375" s="4"/>
    </row>
    <row r="376" spans="3:7" ht="17.25" customHeight="1" x14ac:dyDescent="1">
      <c r="C376" s="1"/>
      <c r="D376" s="2"/>
      <c r="E376" s="3"/>
      <c r="F376" s="4"/>
      <c r="G376" s="4"/>
    </row>
    <row r="377" spans="3:7" ht="17.25" customHeight="1" x14ac:dyDescent="1">
      <c r="C377" s="1"/>
      <c r="D377" s="2"/>
      <c r="E377" s="3"/>
      <c r="F377" s="4"/>
      <c r="G377" s="4"/>
    </row>
    <row r="378" spans="3:7" ht="17.25" customHeight="1" x14ac:dyDescent="1">
      <c r="C378" s="1"/>
      <c r="D378" s="2"/>
      <c r="E378" s="3"/>
      <c r="F378" s="4"/>
      <c r="G378" s="4"/>
    </row>
    <row r="379" spans="3:7" ht="17.25" customHeight="1" x14ac:dyDescent="1">
      <c r="C379" s="1"/>
      <c r="D379" s="2"/>
      <c r="E379" s="3"/>
      <c r="F379" s="4"/>
      <c r="G379" s="4"/>
    </row>
    <row r="380" spans="3:7" ht="17.25" customHeight="1" x14ac:dyDescent="1">
      <c r="C380" s="1"/>
      <c r="D380" s="2"/>
      <c r="E380" s="3"/>
      <c r="F380" s="4"/>
      <c r="G380" s="4"/>
    </row>
    <row r="381" spans="3:7" ht="17.25" customHeight="1" x14ac:dyDescent="1">
      <c r="C381" s="1"/>
      <c r="D381" s="2"/>
      <c r="E381" s="3"/>
      <c r="F381" s="4"/>
      <c r="G381" s="4"/>
    </row>
    <row r="382" spans="3:7" ht="17.25" customHeight="1" x14ac:dyDescent="1">
      <c r="C382" s="1"/>
      <c r="D382" s="2"/>
      <c r="E382" s="3"/>
      <c r="F382" s="4"/>
      <c r="G382" s="4"/>
    </row>
    <row r="383" spans="3:7" ht="17.25" customHeight="1" x14ac:dyDescent="1">
      <c r="C383" s="1"/>
      <c r="D383" s="2"/>
      <c r="E383" s="3"/>
      <c r="F383" s="4"/>
      <c r="G383" s="4"/>
    </row>
    <row r="384" spans="3:7" ht="17.25" customHeight="1" x14ac:dyDescent="1">
      <c r="C384" s="1"/>
      <c r="D384" s="2"/>
      <c r="E384" s="3"/>
      <c r="F384" s="4"/>
      <c r="G384" s="4"/>
    </row>
    <row r="385" spans="3:7" ht="17.25" customHeight="1" x14ac:dyDescent="1">
      <c r="C385" s="1"/>
      <c r="D385" s="2"/>
      <c r="E385" s="3"/>
      <c r="F385" s="4"/>
      <c r="G385" s="4"/>
    </row>
    <row r="386" spans="3:7" ht="17.25" customHeight="1" x14ac:dyDescent="1">
      <c r="C386" s="1"/>
      <c r="D386" s="2"/>
      <c r="E386" s="3"/>
      <c r="F386" s="4"/>
      <c r="G386" s="4"/>
    </row>
    <row r="387" spans="3:7" ht="17.25" customHeight="1" x14ac:dyDescent="1">
      <c r="C387" s="1"/>
      <c r="D387" s="2"/>
      <c r="E387" s="3"/>
      <c r="F387" s="4"/>
      <c r="G387" s="4"/>
    </row>
    <row r="388" spans="3:7" ht="17.25" customHeight="1" x14ac:dyDescent="1">
      <c r="C388" s="1"/>
      <c r="D388" s="2"/>
      <c r="E388" s="3"/>
      <c r="F388" s="4"/>
      <c r="G388" s="4"/>
    </row>
    <row r="389" spans="3:7" ht="17.25" customHeight="1" x14ac:dyDescent="1">
      <c r="C389" s="1"/>
      <c r="D389" s="2"/>
      <c r="E389" s="3"/>
      <c r="F389" s="4"/>
      <c r="G389" s="4"/>
    </row>
    <row r="390" spans="3:7" ht="17.25" customHeight="1" x14ac:dyDescent="1">
      <c r="C390" s="1"/>
      <c r="D390" s="2"/>
      <c r="E390" s="3"/>
      <c r="F390" s="4"/>
      <c r="G390" s="4"/>
    </row>
    <row r="391" spans="3:7" ht="17.25" customHeight="1" x14ac:dyDescent="1">
      <c r="C391" s="1"/>
      <c r="D391" s="2"/>
      <c r="E391" s="3"/>
      <c r="F391" s="4"/>
      <c r="G391" s="4"/>
    </row>
    <row r="392" spans="3:7" ht="17.25" customHeight="1" x14ac:dyDescent="1">
      <c r="C392" s="1"/>
      <c r="D392" s="2"/>
      <c r="E392" s="3"/>
      <c r="F392" s="4"/>
      <c r="G392" s="4"/>
    </row>
    <row r="393" spans="3:7" ht="17.25" customHeight="1" x14ac:dyDescent="1">
      <c r="C393" s="1"/>
      <c r="D393" s="2"/>
      <c r="E393" s="3"/>
      <c r="F393" s="4"/>
      <c r="G393" s="4"/>
    </row>
    <row r="394" spans="3:7" ht="17.25" customHeight="1" x14ac:dyDescent="1">
      <c r="C394" s="1"/>
      <c r="D394" s="2"/>
      <c r="E394" s="3"/>
      <c r="F394" s="4"/>
      <c r="G394" s="4"/>
    </row>
    <row r="395" spans="3:7" ht="17.25" customHeight="1" x14ac:dyDescent="1">
      <c r="C395" s="1"/>
      <c r="D395" s="2"/>
      <c r="E395" s="3"/>
      <c r="F395" s="4"/>
      <c r="G395" s="4"/>
    </row>
    <row r="396" spans="3:7" ht="17.25" customHeight="1" x14ac:dyDescent="1">
      <c r="C396" s="1"/>
      <c r="D396" s="2"/>
      <c r="E396" s="3"/>
      <c r="F396" s="4"/>
      <c r="G396" s="4"/>
    </row>
    <row r="397" spans="3:7" ht="17.25" customHeight="1" x14ac:dyDescent="1">
      <c r="C397" s="1"/>
      <c r="D397" s="2"/>
      <c r="E397" s="3"/>
      <c r="F397" s="4"/>
      <c r="G397" s="4"/>
    </row>
    <row r="398" spans="3:7" ht="17.25" customHeight="1" x14ac:dyDescent="1">
      <c r="C398" s="1"/>
      <c r="D398" s="2"/>
      <c r="E398" s="3"/>
      <c r="F398" s="4"/>
      <c r="G398" s="4"/>
    </row>
    <row r="399" spans="3:7" ht="17.25" customHeight="1" x14ac:dyDescent="1">
      <c r="C399" s="1"/>
      <c r="D399" s="2"/>
      <c r="E399" s="3"/>
      <c r="F399" s="4"/>
      <c r="G399" s="4"/>
    </row>
    <row r="400" spans="3:7" ht="17.25" customHeight="1" x14ac:dyDescent="1">
      <c r="C400" s="1"/>
      <c r="D400" s="2"/>
      <c r="E400" s="3"/>
      <c r="F400" s="4"/>
      <c r="G400" s="4"/>
    </row>
    <row r="401" spans="3:7" ht="17.25" customHeight="1" x14ac:dyDescent="1">
      <c r="C401" s="1"/>
      <c r="D401" s="2"/>
      <c r="E401" s="3"/>
      <c r="F401" s="4"/>
      <c r="G401" s="4"/>
    </row>
    <row r="402" spans="3:7" ht="17.25" customHeight="1" x14ac:dyDescent="1">
      <c r="C402" s="1"/>
      <c r="D402" s="2"/>
      <c r="E402" s="3"/>
      <c r="F402" s="4"/>
      <c r="G402" s="4"/>
    </row>
    <row r="403" spans="3:7" ht="17.25" customHeight="1" x14ac:dyDescent="1">
      <c r="C403" s="1"/>
      <c r="D403" s="2"/>
      <c r="E403" s="3"/>
      <c r="F403" s="4"/>
      <c r="G403" s="4"/>
    </row>
    <row r="404" spans="3:7" ht="17.25" customHeight="1" x14ac:dyDescent="1">
      <c r="C404" s="1"/>
      <c r="D404" s="2"/>
      <c r="E404" s="3"/>
      <c r="F404" s="4"/>
      <c r="G404" s="4"/>
    </row>
    <row r="405" spans="3:7" ht="17.25" customHeight="1" x14ac:dyDescent="1">
      <c r="C405" s="1"/>
      <c r="D405" s="2"/>
      <c r="E405" s="3"/>
      <c r="F405" s="4"/>
      <c r="G405" s="4"/>
    </row>
    <row r="406" spans="3:7" ht="17.25" customHeight="1" x14ac:dyDescent="1">
      <c r="C406" s="1"/>
      <c r="D406" s="2"/>
      <c r="E406" s="3"/>
      <c r="F406" s="4"/>
      <c r="G406" s="4"/>
    </row>
    <row r="407" spans="3:7" ht="17.25" customHeight="1" x14ac:dyDescent="1">
      <c r="C407" s="1"/>
      <c r="D407" s="2"/>
      <c r="E407" s="3"/>
      <c r="F407" s="4"/>
      <c r="G407" s="4"/>
    </row>
    <row r="408" spans="3:7" ht="17.25" customHeight="1" x14ac:dyDescent="1">
      <c r="C408" s="1"/>
      <c r="D408" s="2"/>
      <c r="E408" s="3"/>
      <c r="F408" s="4"/>
      <c r="G408" s="4"/>
    </row>
    <row r="409" spans="3:7" ht="17.25" customHeight="1" x14ac:dyDescent="1">
      <c r="C409" s="1"/>
      <c r="D409" s="2"/>
      <c r="E409" s="3"/>
      <c r="F409" s="4"/>
      <c r="G409" s="4"/>
    </row>
    <row r="410" spans="3:7" ht="17.25" customHeight="1" x14ac:dyDescent="1">
      <c r="C410" s="1"/>
      <c r="D410" s="2"/>
      <c r="E410" s="3"/>
      <c r="F410" s="4"/>
      <c r="G410" s="4"/>
    </row>
    <row r="411" spans="3:7" ht="17.25" customHeight="1" x14ac:dyDescent="1">
      <c r="C411" s="1"/>
      <c r="D411" s="2"/>
      <c r="E411" s="3"/>
      <c r="F411" s="4"/>
      <c r="G411" s="4"/>
    </row>
    <row r="412" spans="3:7" ht="17.25" customHeight="1" x14ac:dyDescent="1">
      <c r="C412" s="1"/>
      <c r="D412" s="2"/>
      <c r="E412" s="3"/>
      <c r="F412" s="4"/>
      <c r="G412" s="4"/>
    </row>
    <row r="413" spans="3:7" ht="17.25" customHeight="1" x14ac:dyDescent="1">
      <c r="C413" s="1"/>
      <c r="D413" s="2"/>
      <c r="E413" s="3"/>
      <c r="F413" s="4"/>
      <c r="G413" s="4"/>
    </row>
    <row r="414" spans="3:7" ht="17.25" customHeight="1" x14ac:dyDescent="1">
      <c r="C414" s="1"/>
      <c r="D414" s="2"/>
      <c r="E414" s="3"/>
      <c r="F414" s="4"/>
      <c r="G414" s="4"/>
    </row>
    <row r="415" spans="3:7" ht="17.25" customHeight="1" x14ac:dyDescent="1">
      <c r="C415" s="1"/>
      <c r="D415" s="2"/>
      <c r="E415" s="3"/>
      <c r="F415" s="4"/>
      <c r="G415" s="4"/>
    </row>
    <row r="416" spans="3:7" ht="17.25" customHeight="1" x14ac:dyDescent="1">
      <c r="C416" s="1"/>
      <c r="D416" s="2"/>
      <c r="E416" s="3"/>
      <c r="F416" s="4"/>
      <c r="G416" s="4"/>
    </row>
    <row r="417" spans="3:7" ht="17.25" customHeight="1" x14ac:dyDescent="1">
      <c r="C417" s="1"/>
      <c r="D417" s="2"/>
      <c r="E417" s="3"/>
      <c r="F417" s="4"/>
      <c r="G417" s="4"/>
    </row>
    <row r="418" spans="3:7" ht="17.25" customHeight="1" x14ac:dyDescent="1">
      <c r="C418" s="1"/>
      <c r="D418" s="2"/>
      <c r="E418" s="3"/>
      <c r="F418" s="4"/>
      <c r="G418" s="4"/>
    </row>
    <row r="419" spans="3:7" ht="17.25" customHeight="1" x14ac:dyDescent="1">
      <c r="C419" s="1"/>
      <c r="D419" s="2"/>
      <c r="E419" s="3"/>
      <c r="F419" s="4"/>
      <c r="G419" s="4"/>
    </row>
    <row r="420" spans="3:7" ht="17.25" customHeight="1" x14ac:dyDescent="1">
      <c r="C420" s="1"/>
      <c r="D420" s="2"/>
      <c r="E420" s="3"/>
      <c r="F420" s="4"/>
      <c r="G420" s="4"/>
    </row>
    <row r="421" spans="3:7" ht="17.25" customHeight="1" x14ac:dyDescent="1">
      <c r="C421" s="1"/>
      <c r="D421" s="2"/>
      <c r="E421" s="3"/>
      <c r="F421" s="4"/>
      <c r="G421" s="4"/>
    </row>
    <row r="422" spans="3:7" ht="17.25" customHeight="1" x14ac:dyDescent="1">
      <c r="C422" s="1"/>
      <c r="D422" s="2"/>
      <c r="E422" s="3"/>
      <c r="F422" s="4"/>
      <c r="G422" s="4"/>
    </row>
    <row r="423" spans="3:7" ht="17.25" customHeight="1" x14ac:dyDescent="1">
      <c r="C423" s="1"/>
      <c r="D423" s="2"/>
      <c r="E423" s="3"/>
      <c r="F423" s="4"/>
      <c r="G423" s="4"/>
    </row>
    <row r="424" spans="3:7" ht="17.25" customHeight="1" x14ac:dyDescent="1">
      <c r="C424" s="1"/>
      <c r="D424" s="2"/>
      <c r="E424" s="3"/>
      <c r="F424" s="4"/>
      <c r="G424" s="4"/>
    </row>
    <row r="425" spans="3:7" ht="17.25" customHeight="1" x14ac:dyDescent="1">
      <c r="C425" s="1"/>
      <c r="D425" s="2"/>
      <c r="E425" s="3"/>
      <c r="F425" s="4"/>
      <c r="G425" s="4"/>
    </row>
    <row r="426" spans="3:7" ht="17.25" customHeight="1" x14ac:dyDescent="1">
      <c r="C426" s="1"/>
      <c r="D426" s="2"/>
      <c r="E426" s="3"/>
      <c r="F426" s="4"/>
      <c r="G426" s="4"/>
    </row>
    <row r="427" spans="3:7" ht="17.25" customHeight="1" x14ac:dyDescent="1">
      <c r="C427" s="1"/>
      <c r="D427" s="2"/>
      <c r="E427" s="3"/>
      <c r="F427" s="4"/>
      <c r="G427" s="4"/>
    </row>
    <row r="428" spans="3:7" ht="17.25" customHeight="1" x14ac:dyDescent="1">
      <c r="C428" s="1"/>
      <c r="D428" s="2"/>
      <c r="E428" s="3"/>
      <c r="F428" s="4"/>
      <c r="G428" s="4"/>
    </row>
    <row r="429" spans="3:7" ht="17.25" customHeight="1" x14ac:dyDescent="1">
      <c r="C429" s="1"/>
      <c r="D429" s="2"/>
      <c r="E429" s="3"/>
      <c r="F429" s="4"/>
      <c r="G429" s="4"/>
    </row>
    <row r="430" spans="3:7" ht="17.25" customHeight="1" x14ac:dyDescent="1">
      <c r="C430" s="1"/>
      <c r="D430" s="2"/>
      <c r="E430" s="3"/>
      <c r="F430" s="4"/>
      <c r="G430" s="4"/>
    </row>
    <row r="431" spans="3:7" ht="17.25" customHeight="1" x14ac:dyDescent="1">
      <c r="C431" s="1"/>
      <c r="D431" s="2"/>
      <c r="E431" s="3"/>
      <c r="F431" s="4"/>
      <c r="G431" s="4"/>
    </row>
    <row r="432" spans="3:7" ht="17.25" customHeight="1" x14ac:dyDescent="1">
      <c r="C432" s="1"/>
      <c r="D432" s="2"/>
      <c r="E432" s="3"/>
      <c r="F432" s="4"/>
      <c r="G432" s="4"/>
    </row>
    <row r="433" spans="3:7" ht="17.25" customHeight="1" x14ac:dyDescent="1">
      <c r="C433" s="1"/>
      <c r="D433" s="2"/>
      <c r="E433" s="3"/>
      <c r="F433" s="4"/>
      <c r="G433" s="4"/>
    </row>
    <row r="434" spans="3:7" ht="17.25" customHeight="1" x14ac:dyDescent="1">
      <c r="C434" s="1"/>
      <c r="D434" s="2"/>
      <c r="E434" s="3"/>
      <c r="F434" s="4"/>
      <c r="G434" s="4"/>
    </row>
    <row r="435" spans="3:7" ht="17.25" customHeight="1" x14ac:dyDescent="1">
      <c r="C435" s="1"/>
      <c r="D435" s="2"/>
      <c r="E435" s="3"/>
      <c r="F435" s="4"/>
      <c r="G435" s="4"/>
    </row>
    <row r="436" spans="3:7" ht="17.25" customHeight="1" x14ac:dyDescent="1">
      <c r="C436" s="1"/>
      <c r="D436" s="2"/>
      <c r="E436" s="3"/>
      <c r="F436" s="4"/>
      <c r="G436" s="4"/>
    </row>
    <row r="437" spans="3:7" ht="17.25" customHeight="1" x14ac:dyDescent="1">
      <c r="C437" s="1"/>
      <c r="D437" s="2"/>
      <c r="E437" s="3"/>
      <c r="F437" s="4"/>
      <c r="G437" s="4"/>
    </row>
    <row r="438" spans="3:7" ht="17.25" customHeight="1" x14ac:dyDescent="1">
      <c r="C438" s="1"/>
      <c r="D438" s="2"/>
      <c r="E438" s="3"/>
      <c r="F438" s="4"/>
      <c r="G438" s="4"/>
    </row>
    <row r="439" spans="3:7" ht="17.25" customHeight="1" x14ac:dyDescent="1">
      <c r="C439" s="1"/>
      <c r="D439" s="2"/>
      <c r="E439" s="3"/>
      <c r="F439" s="4"/>
      <c r="G439" s="4"/>
    </row>
    <row r="440" spans="3:7" ht="17.25" customHeight="1" x14ac:dyDescent="1">
      <c r="C440" s="1"/>
      <c r="D440" s="2"/>
      <c r="E440" s="3"/>
      <c r="F440" s="4"/>
      <c r="G440" s="4"/>
    </row>
    <row r="441" spans="3:7" ht="17.25" customHeight="1" x14ac:dyDescent="1">
      <c r="C441" s="1"/>
      <c r="D441" s="2"/>
      <c r="E441" s="3"/>
      <c r="F441" s="4"/>
      <c r="G441" s="4"/>
    </row>
    <row r="442" spans="3:7" ht="17.25" customHeight="1" x14ac:dyDescent="1">
      <c r="C442" s="1"/>
      <c r="D442" s="2"/>
      <c r="E442" s="3"/>
      <c r="F442" s="4"/>
      <c r="G442" s="4"/>
    </row>
    <row r="443" spans="3:7" ht="17.25" customHeight="1" x14ac:dyDescent="1">
      <c r="C443" s="1"/>
      <c r="D443" s="2"/>
      <c r="E443" s="3"/>
      <c r="F443" s="4"/>
      <c r="G443" s="4"/>
    </row>
    <row r="444" spans="3:7" ht="17.25" customHeight="1" x14ac:dyDescent="1">
      <c r="C444" s="1"/>
      <c r="D444" s="2"/>
      <c r="E444" s="3"/>
      <c r="F444" s="4"/>
      <c r="G444" s="4"/>
    </row>
    <row r="445" spans="3:7" ht="17.25" customHeight="1" x14ac:dyDescent="1">
      <c r="C445" s="1"/>
      <c r="D445" s="2"/>
      <c r="E445" s="3"/>
      <c r="F445" s="4"/>
      <c r="G445" s="4"/>
    </row>
    <row r="446" spans="3:7" ht="17.25" customHeight="1" x14ac:dyDescent="1">
      <c r="C446" s="1"/>
      <c r="D446" s="2"/>
      <c r="E446" s="3"/>
      <c r="F446" s="4"/>
      <c r="G446" s="4"/>
    </row>
    <row r="447" spans="3:7" ht="17.25" customHeight="1" x14ac:dyDescent="1">
      <c r="C447" s="1"/>
      <c r="D447" s="2"/>
      <c r="E447" s="3"/>
      <c r="F447" s="4"/>
      <c r="G447" s="4"/>
    </row>
    <row r="448" spans="3:7" ht="17.25" customHeight="1" x14ac:dyDescent="1">
      <c r="C448" s="1"/>
      <c r="D448" s="2"/>
      <c r="E448" s="3"/>
      <c r="F448" s="4"/>
      <c r="G448" s="4"/>
    </row>
    <row r="449" spans="3:7" ht="17.25" customHeight="1" x14ac:dyDescent="1">
      <c r="C449" s="1"/>
      <c r="D449" s="2"/>
      <c r="E449" s="3"/>
      <c r="F449" s="4"/>
      <c r="G449" s="4"/>
    </row>
    <row r="450" spans="3:7" ht="17.25" customHeight="1" x14ac:dyDescent="1">
      <c r="C450" s="1"/>
      <c r="D450" s="2"/>
      <c r="E450" s="3"/>
      <c r="F450" s="4"/>
      <c r="G450" s="4"/>
    </row>
    <row r="451" spans="3:7" ht="17.25" customHeight="1" x14ac:dyDescent="1">
      <c r="C451" s="1"/>
      <c r="D451" s="2"/>
      <c r="E451" s="3"/>
      <c r="F451" s="4"/>
      <c r="G451" s="4"/>
    </row>
    <row r="452" spans="3:7" ht="17.25" customHeight="1" x14ac:dyDescent="1">
      <c r="C452" s="1"/>
      <c r="D452" s="2"/>
      <c r="E452" s="3"/>
      <c r="F452" s="4"/>
      <c r="G452" s="4"/>
    </row>
    <row r="453" spans="3:7" ht="17.25" customHeight="1" x14ac:dyDescent="1">
      <c r="C453" s="1"/>
      <c r="D453" s="2"/>
      <c r="E453" s="3"/>
      <c r="F453" s="4"/>
      <c r="G453" s="4"/>
    </row>
    <row r="454" spans="3:7" ht="17.25" customHeight="1" x14ac:dyDescent="1">
      <c r="C454" s="1"/>
      <c r="D454" s="2"/>
      <c r="E454" s="3"/>
      <c r="F454" s="4"/>
      <c r="G454" s="4"/>
    </row>
    <row r="455" spans="3:7" ht="17.25" customHeight="1" x14ac:dyDescent="1">
      <c r="C455" s="1"/>
      <c r="D455" s="2"/>
      <c r="E455" s="3"/>
      <c r="F455" s="4"/>
      <c r="G455" s="4"/>
    </row>
    <row r="456" spans="3:7" ht="17.25" customHeight="1" x14ac:dyDescent="1">
      <c r="C456" s="1"/>
      <c r="D456" s="2"/>
      <c r="E456" s="3"/>
      <c r="F456" s="4"/>
      <c r="G456" s="4"/>
    </row>
    <row r="457" spans="3:7" ht="17.25" customHeight="1" x14ac:dyDescent="1">
      <c r="C457" s="1"/>
      <c r="D457" s="2"/>
      <c r="E457" s="3"/>
      <c r="F457" s="4"/>
      <c r="G457" s="4"/>
    </row>
    <row r="458" spans="3:7" ht="17.25" customHeight="1" x14ac:dyDescent="1">
      <c r="C458" s="1"/>
      <c r="D458" s="2"/>
      <c r="E458" s="3"/>
      <c r="F458" s="4"/>
      <c r="G458" s="4"/>
    </row>
    <row r="459" spans="3:7" ht="17.25" customHeight="1" x14ac:dyDescent="1">
      <c r="C459" s="1"/>
      <c r="D459" s="2"/>
      <c r="E459" s="3"/>
      <c r="F459" s="4"/>
      <c r="G459" s="4"/>
    </row>
    <row r="460" spans="3:7" ht="17.25" customHeight="1" x14ac:dyDescent="1">
      <c r="C460" s="1"/>
      <c r="D460" s="2"/>
      <c r="E460" s="3"/>
      <c r="F460" s="4"/>
      <c r="G460" s="4"/>
    </row>
    <row r="461" spans="3:7" ht="17.25" customHeight="1" x14ac:dyDescent="1">
      <c r="C461" s="1"/>
      <c r="D461" s="2"/>
      <c r="E461" s="3"/>
      <c r="F461" s="4"/>
      <c r="G461" s="4"/>
    </row>
    <row r="462" spans="3:7" ht="17.25" customHeight="1" x14ac:dyDescent="1">
      <c r="C462" s="1"/>
      <c r="D462" s="2"/>
      <c r="E462" s="3"/>
      <c r="F462" s="4"/>
      <c r="G462" s="4"/>
    </row>
    <row r="463" spans="3:7" ht="17.25" customHeight="1" x14ac:dyDescent="1">
      <c r="C463" s="1"/>
      <c r="D463" s="2"/>
      <c r="E463" s="3"/>
      <c r="F463" s="4"/>
      <c r="G463" s="4"/>
    </row>
    <row r="464" spans="3:7" ht="17.25" customHeight="1" x14ac:dyDescent="1">
      <c r="C464" s="1"/>
      <c r="D464" s="2"/>
      <c r="E464" s="3"/>
      <c r="F464" s="4"/>
      <c r="G464" s="4"/>
    </row>
    <row r="465" spans="3:7" ht="17.25" customHeight="1" x14ac:dyDescent="1">
      <c r="C465" s="1"/>
      <c r="D465" s="2"/>
      <c r="E465" s="3"/>
      <c r="F465" s="4"/>
      <c r="G465" s="4"/>
    </row>
    <row r="466" spans="3:7" ht="17.25" customHeight="1" x14ac:dyDescent="1">
      <c r="C466" s="1"/>
      <c r="D466" s="2"/>
      <c r="E466" s="3"/>
      <c r="F466" s="4"/>
      <c r="G466" s="4"/>
    </row>
    <row r="467" spans="3:7" ht="17.25" customHeight="1" x14ac:dyDescent="1">
      <c r="C467" s="1"/>
      <c r="D467" s="2"/>
      <c r="E467" s="3"/>
      <c r="F467" s="4"/>
      <c r="G467" s="4"/>
    </row>
    <row r="468" spans="3:7" ht="17.25" customHeight="1" x14ac:dyDescent="1">
      <c r="C468" s="1"/>
      <c r="D468" s="2"/>
      <c r="E468" s="3"/>
      <c r="F468" s="4"/>
      <c r="G468" s="4"/>
    </row>
    <row r="469" spans="3:7" ht="17.25" customHeight="1" x14ac:dyDescent="1">
      <c r="C469" s="1"/>
      <c r="D469" s="2"/>
      <c r="E469" s="3"/>
      <c r="F469" s="4"/>
      <c r="G469" s="4"/>
    </row>
    <row r="470" spans="3:7" ht="17.25" customHeight="1" x14ac:dyDescent="1">
      <c r="C470" s="1"/>
      <c r="D470" s="2"/>
      <c r="E470" s="3"/>
      <c r="F470" s="4"/>
      <c r="G470" s="4"/>
    </row>
    <row r="471" spans="3:7" ht="17.25" customHeight="1" x14ac:dyDescent="1">
      <c r="C471" s="1"/>
      <c r="D471" s="2"/>
      <c r="E471" s="3"/>
      <c r="F471" s="4"/>
      <c r="G471" s="4"/>
    </row>
    <row r="472" spans="3:7" ht="17.25" customHeight="1" x14ac:dyDescent="1">
      <c r="C472" s="1"/>
      <c r="D472" s="2"/>
      <c r="E472" s="3"/>
      <c r="F472" s="4"/>
      <c r="G472" s="4"/>
    </row>
    <row r="473" spans="3:7" ht="17.25" customHeight="1" x14ac:dyDescent="1">
      <c r="C473" s="1"/>
      <c r="D473" s="2"/>
      <c r="E473" s="3"/>
      <c r="F473" s="4"/>
      <c r="G473" s="4"/>
    </row>
    <row r="474" spans="3:7" ht="17.25" customHeight="1" x14ac:dyDescent="1">
      <c r="C474" s="1"/>
      <c r="D474" s="2"/>
      <c r="E474" s="3"/>
      <c r="F474" s="4"/>
      <c r="G474" s="4"/>
    </row>
    <row r="475" spans="3:7" ht="17.25" customHeight="1" x14ac:dyDescent="1">
      <c r="C475" s="1"/>
      <c r="D475" s="2"/>
      <c r="E475" s="3"/>
      <c r="F475" s="4"/>
      <c r="G475" s="4"/>
    </row>
    <row r="476" spans="3:7" ht="17.25" customHeight="1" x14ac:dyDescent="1">
      <c r="C476" s="1"/>
      <c r="D476" s="2"/>
      <c r="E476" s="3"/>
      <c r="F476" s="4"/>
      <c r="G476" s="4"/>
    </row>
    <row r="477" spans="3:7" ht="17.25" customHeight="1" x14ac:dyDescent="1">
      <c r="C477" s="1"/>
      <c r="D477" s="2"/>
      <c r="E477" s="3"/>
      <c r="F477" s="4"/>
      <c r="G477" s="4"/>
    </row>
    <row r="478" spans="3:7" ht="17.25" customHeight="1" x14ac:dyDescent="1">
      <c r="C478" s="1"/>
      <c r="D478" s="2"/>
      <c r="E478" s="3"/>
      <c r="F478" s="4"/>
      <c r="G478" s="4"/>
    </row>
    <row r="479" spans="3:7" ht="17.25" customHeight="1" x14ac:dyDescent="1">
      <c r="C479" s="1"/>
      <c r="D479" s="2"/>
      <c r="E479" s="3"/>
      <c r="F479" s="4"/>
      <c r="G479" s="4"/>
    </row>
    <row r="480" spans="3:7" ht="17.25" customHeight="1" x14ac:dyDescent="1">
      <c r="C480" s="1"/>
      <c r="D480" s="2"/>
      <c r="E480" s="3"/>
      <c r="F480" s="4"/>
      <c r="G480" s="4"/>
    </row>
    <row r="481" spans="3:7" ht="17.25" customHeight="1" x14ac:dyDescent="1">
      <c r="C481" s="1"/>
      <c r="D481" s="2"/>
      <c r="E481" s="3"/>
      <c r="F481" s="4"/>
      <c r="G481" s="4"/>
    </row>
    <row r="482" spans="3:7" ht="17.25" customHeight="1" x14ac:dyDescent="1">
      <c r="C482" s="1"/>
      <c r="D482" s="2"/>
      <c r="E482" s="3"/>
      <c r="F482" s="4"/>
      <c r="G482" s="4"/>
    </row>
    <row r="483" spans="3:7" ht="17.25" customHeight="1" x14ac:dyDescent="1">
      <c r="C483" s="1"/>
      <c r="D483" s="2"/>
      <c r="E483" s="3"/>
      <c r="F483" s="4"/>
      <c r="G483" s="4"/>
    </row>
    <row r="484" spans="3:7" ht="17.25" customHeight="1" x14ac:dyDescent="1">
      <c r="C484" s="1"/>
      <c r="D484" s="2"/>
      <c r="E484" s="3"/>
      <c r="F484" s="4"/>
      <c r="G484" s="4"/>
    </row>
    <row r="485" spans="3:7" ht="17.25" customHeight="1" x14ac:dyDescent="1">
      <c r="C485" s="1"/>
      <c r="D485" s="2"/>
      <c r="E485" s="3"/>
      <c r="F485" s="4"/>
      <c r="G485" s="4"/>
    </row>
    <row r="486" spans="3:7" ht="17.25" customHeight="1" x14ac:dyDescent="1">
      <c r="C486" s="1"/>
      <c r="D486" s="2"/>
      <c r="E486" s="3"/>
      <c r="F486" s="4"/>
      <c r="G486" s="4"/>
    </row>
    <row r="487" spans="3:7" ht="17.25" customHeight="1" x14ac:dyDescent="1">
      <c r="C487" s="1"/>
      <c r="D487" s="2"/>
      <c r="E487" s="3"/>
      <c r="F487" s="4"/>
      <c r="G487" s="4"/>
    </row>
    <row r="488" spans="3:7" ht="17.25" customHeight="1" x14ac:dyDescent="1">
      <c r="C488" s="1"/>
      <c r="D488" s="2"/>
      <c r="E488" s="3"/>
      <c r="F488" s="4"/>
      <c r="G488" s="4"/>
    </row>
    <row r="489" spans="3:7" ht="17.25" customHeight="1" x14ac:dyDescent="1">
      <c r="C489" s="1"/>
      <c r="D489" s="2"/>
      <c r="E489" s="3"/>
      <c r="F489" s="4"/>
      <c r="G489" s="4"/>
    </row>
    <row r="490" spans="3:7" ht="17.25" customHeight="1" x14ac:dyDescent="1">
      <c r="C490" s="1"/>
      <c r="D490" s="2"/>
      <c r="E490" s="3"/>
      <c r="F490" s="4"/>
      <c r="G490" s="4"/>
    </row>
    <row r="491" spans="3:7" ht="17.25" customHeight="1" x14ac:dyDescent="1">
      <c r="C491" s="1"/>
      <c r="D491" s="2"/>
      <c r="E491" s="3"/>
      <c r="F491" s="4"/>
      <c r="G491" s="4"/>
    </row>
    <row r="492" spans="3:7" ht="17.25" customHeight="1" x14ac:dyDescent="1">
      <c r="C492" s="1"/>
      <c r="D492" s="2"/>
      <c r="E492" s="3"/>
      <c r="F492" s="4"/>
      <c r="G492" s="4"/>
    </row>
    <row r="493" spans="3:7" ht="17.25" customHeight="1" x14ac:dyDescent="1">
      <c r="C493" s="1"/>
      <c r="D493" s="2"/>
      <c r="E493" s="3"/>
      <c r="F493" s="4"/>
      <c r="G493" s="4"/>
    </row>
    <row r="494" spans="3:7" ht="17.25" customHeight="1" x14ac:dyDescent="1">
      <c r="C494" s="1"/>
      <c r="D494" s="2"/>
      <c r="E494" s="3"/>
      <c r="F494" s="4"/>
      <c r="G494" s="4"/>
    </row>
    <row r="495" spans="3:7" ht="17.25" customHeight="1" x14ac:dyDescent="1">
      <c r="C495" s="1"/>
      <c r="D495" s="2"/>
      <c r="E495" s="3"/>
      <c r="F495" s="4"/>
      <c r="G495" s="4"/>
    </row>
    <row r="496" spans="3:7" ht="17.25" customHeight="1" x14ac:dyDescent="1">
      <c r="C496" s="1"/>
      <c r="D496" s="2"/>
      <c r="E496" s="3"/>
      <c r="F496" s="4"/>
      <c r="G496" s="4"/>
    </row>
    <row r="497" spans="3:7" ht="17.25" customHeight="1" x14ac:dyDescent="1">
      <c r="C497" s="1"/>
      <c r="D497" s="2"/>
      <c r="E497" s="3"/>
      <c r="F497" s="4"/>
      <c r="G497" s="4"/>
    </row>
    <row r="498" spans="3:7" ht="17.25" customHeight="1" x14ac:dyDescent="1">
      <c r="C498" s="1"/>
      <c r="D498" s="2"/>
      <c r="E498" s="3"/>
      <c r="F498" s="4"/>
      <c r="G498" s="4"/>
    </row>
    <row r="499" spans="3:7" ht="17.25" customHeight="1" x14ac:dyDescent="1">
      <c r="C499" s="1"/>
      <c r="D499" s="2"/>
      <c r="E499" s="3"/>
      <c r="F499" s="4"/>
      <c r="G499" s="4"/>
    </row>
    <row r="500" spans="3:7" ht="17.25" customHeight="1" x14ac:dyDescent="1">
      <c r="C500" s="1"/>
      <c r="D500" s="2"/>
      <c r="E500" s="3"/>
      <c r="F500" s="4"/>
      <c r="G500" s="4"/>
    </row>
    <row r="501" spans="3:7" ht="17.25" customHeight="1" x14ac:dyDescent="1">
      <c r="C501" s="1"/>
      <c r="D501" s="2"/>
      <c r="E501" s="3"/>
      <c r="F501" s="4"/>
      <c r="G501" s="4"/>
    </row>
    <row r="502" spans="3:7" ht="17.25" customHeight="1" x14ac:dyDescent="1">
      <c r="C502" s="1"/>
      <c r="D502" s="2"/>
      <c r="E502" s="3"/>
      <c r="F502" s="4"/>
      <c r="G502" s="4"/>
    </row>
    <row r="503" spans="3:7" ht="17.25" customHeight="1" x14ac:dyDescent="1">
      <c r="C503" s="1"/>
      <c r="D503" s="2"/>
      <c r="E503" s="3"/>
      <c r="F503" s="4"/>
      <c r="G503" s="4"/>
    </row>
    <row r="504" spans="3:7" ht="17.25" customHeight="1" x14ac:dyDescent="1">
      <c r="C504" s="1"/>
      <c r="D504" s="2"/>
      <c r="E504" s="3"/>
      <c r="F504" s="4"/>
      <c r="G504" s="4"/>
    </row>
    <row r="505" spans="3:7" ht="17.25" customHeight="1" x14ac:dyDescent="1">
      <c r="C505" s="1"/>
      <c r="D505" s="2"/>
      <c r="E505" s="3"/>
      <c r="F505" s="4"/>
      <c r="G505" s="4"/>
    </row>
    <row r="506" spans="3:7" ht="17.25" customHeight="1" x14ac:dyDescent="1">
      <c r="C506" s="1"/>
      <c r="D506" s="2"/>
      <c r="E506" s="3"/>
      <c r="F506" s="4"/>
      <c r="G506" s="4"/>
    </row>
    <row r="507" spans="3:7" ht="17.25" customHeight="1" x14ac:dyDescent="1">
      <c r="C507" s="1"/>
      <c r="D507" s="2"/>
      <c r="E507" s="3"/>
      <c r="F507" s="4"/>
      <c r="G507" s="4"/>
    </row>
    <row r="508" spans="3:7" ht="17.25" customHeight="1" x14ac:dyDescent="1">
      <c r="C508" s="1"/>
      <c r="D508" s="2"/>
      <c r="E508" s="3"/>
      <c r="F508" s="4"/>
      <c r="G508" s="4"/>
    </row>
    <row r="509" spans="3:7" ht="17.25" customHeight="1" x14ac:dyDescent="1">
      <c r="C509" s="1"/>
      <c r="D509" s="2"/>
      <c r="E509" s="3"/>
      <c r="F509" s="4"/>
      <c r="G509" s="4"/>
    </row>
    <row r="510" spans="3:7" ht="17.25" customHeight="1" x14ac:dyDescent="1">
      <c r="C510" s="1"/>
      <c r="D510" s="2"/>
      <c r="E510" s="3"/>
      <c r="F510" s="4"/>
      <c r="G510" s="4"/>
    </row>
    <row r="511" spans="3:7" ht="17.25" customHeight="1" x14ac:dyDescent="1">
      <c r="C511" s="1"/>
      <c r="D511" s="2"/>
      <c r="E511" s="3"/>
      <c r="F511" s="4"/>
      <c r="G511" s="4"/>
    </row>
    <row r="512" spans="3:7" ht="17.25" customHeight="1" x14ac:dyDescent="1">
      <c r="C512" s="1"/>
      <c r="D512" s="2"/>
      <c r="E512" s="3"/>
      <c r="F512" s="4"/>
      <c r="G512" s="4"/>
    </row>
    <row r="513" spans="3:7" ht="17.25" customHeight="1" x14ac:dyDescent="1">
      <c r="C513" s="1"/>
      <c r="D513" s="2"/>
      <c r="E513" s="3"/>
      <c r="F513" s="4"/>
      <c r="G513" s="4"/>
    </row>
    <row r="514" spans="3:7" ht="17.25" customHeight="1" x14ac:dyDescent="1">
      <c r="C514" s="1"/>
      <c r="D514" s="2"/>
      <c r="E514" s="3"/>
      <c r="F514" s="4"/>
      <c r="G514" s="4"/>
    </row>
    <row r="515" spans="3:7" ht="17.25" customHeight="1" x14ac:dyDescent="1">
      <c r="C515" s="1"/>
      <c r="D515" s="2"/>
      <c r="E515" s="3"/>
      <c r="F515" s="4"/>
      <c r="G515" s="4"/>
    </row>
    <row r="516" spans="3:7" ht="17.25" customHeight="1" x14ac:dyDescent="1">
      <c r="C516" s="1"/>
      <c r="D516" s="2"/>
      <c r="E516" s="3"/>
      <c r="F516" s="4"/>
      <c r="G516" s="4"/>
    </row>
    <row r="517" spans="3:7" ht="17.25" customHeight="1" x14ac:dyDescent="1">
      <c r="C517" s="1"/>
      <c r="D517" s="2"/>
      <c r="E517" s="3"/>
      <c r="F517" s="4"/>
      <c r="G517" s="4"/>
    </row>
    <row r="518" spans="3:7" ht="17.25" customHeight="1" x14ac:dyDescent="1">
      <c r="C518" s="1"/>
      <c r="D518" s="2"/>
      <c r="E518" s="3"/>
      <c r="F518" s="4"/>
      <c r="G518" s="4"/>
    </row>
    <row r="519" spans="3:7" ht="17.25" customHeight="1" x14ac:dyDescent="1">
      <c r="C519" s="1"/>
      <c r="D519" s="2"/>
      <c r="E519" s="3"/>
      <c r="F519" s="4"/>
      <c r="G519" s="4"/>
    </row>
    <row r="520" spans="3:7" ht="17.25" customHeight="1" x14ac:dyDescent="1">
      <c r="C520" s="1"/>
      <c r="D520" s="2"/>
      <c r="E520" s="3"/>
      <c r="F520" s="4"/>
      <c r="G520" s="4"/>
    </row>
    <row r="521" spans="3:7" ht="17.25" customHeight="1" x14ac:dyDescent="1">
      <c r="C521" s="1"/>
      <c r="D521" s="2"/>
      <c r="E521" s="3"/>
      <c r="F521" s="4"/>
      <c r="G521" s="4"/>
    </row>
    <row r="522" spans="3:7" ht="17.25" customHeight="1" x14ac:dyDescent="1">
      <c r="C522" s="1"/>
      <c r="D522" s="2"/>
      <c r="E522" s="3"/>
      <c r="F522" s="4"/>
      <c r="G522" s="4"/>
    </row>
    <row r="523" spans="3:7" ht="17.25" customHeight="1" x14ac:dyDescent="1">
      <c r="C523" s="1"/>
      <c r="D523" s="2"/>
      <c r="E523" s="3"/>
      <c r="F523" s="4"/>
      <c r="G523" s="4"/>
    </row>
    <row r="524" spans="3:7" ht="17.25" customHeight="1" x14ac:dyDescent="1">
      <c r="C524" s="1"/>
      <c r="D524" s="2"/>
      <c r="E524" s="3"/>
      <c r="F524" s="4"/>
      <c r="G524" s="4"/>
    </row>
    <row r="525" spans="3:7" ht="17.25" customHeight="1" x14ac:dyDescent="1">
      <c r="C525" s="1"/>
      <c r="D525" s="2"/>
      <c r="E525" s="3"/>
      <c r="F525" s="4"/>
      <c r="G525" s="4"/>
    </row>
    <row r="526" spans="3:7" ht="17.25" customHeight="1" x14ac:dyDescent="1">
      <c r="C526" s="1"/>
      <c r="D526" s="2"/>
      <c r="E526" s="3"/>
      <c r="F526" s="4"/>
      <c r="G526" s="4"/>
    </row>
    <row r="527" spans="3:7" ht="17.25" customHeight="1" x14ac:dyDescent="1">
      <c r="C527" s="1"/>
      <c r="D527" s="2"/>
      <c r="E527" s="3"/>
      <c r="F527" s="4"/>
      <c r="G527" s="4"/>
    </row>
    <row r="528" spans="3:7" ht="17.25" customHeight="1" x14ac:dyDescent="1">
      <c r="C528" s="1"/>
      <c r="D528" s="2"/>
      <c r="E528" s="3"/>
      <c r="F528" s="4"/>
      <c r="G528" s="4"/>
    </row>
    <row r="529" spans="3:7" ht="17.25" customHeight="1" x14ac:dyDescent="1">
      <c r="C529" s="1"/>
      <c r="D529" s="2"/>
      <c r="E529" s="3"/>
      <c r="F529" s="4"/>
      <c r="G529" s="4"/>
    </row>
    <row r="530" spans="3:7" ht="17.25" customHeight="1" x14ac:dyDescent="1">
      <c r="C530" s="1"/>
      <c r="D530" s="2"/>
      <c r="E530" s="3"/>
      <c r="F530" s="4"/>
      <c r="G530" s="4"/>
    </row>
    <row r="531" spans="3:7" ht="17.25" customHeight="1" x14ac:dyDescent="1">
      <c r="C531" s="1"/>
      <c r="D531" s="2"/>
      <c r="E531" s="3"/>
      <c r="F531" s="4"/>
      <c r="G531" s="4"/>
    </row>
    <row r="532" spans="3:7" ht="17.25" customHeight="1" x14ac:dyDescent="1">
      <c r="C532" s="1"/>
      <c r="D532" s="2"/>
      <c r="E532" s="3"/>
      <c r="F532" s="4"/>
      <c r="G532" s="4"/>
    </row>
    <row r="533" spans="3:7" ht="17.25" customHeight="1" x14ac:dyDescent="1">
      <c r="C533" s="1"/>
      <c r="D533" s="2"/>
      <c r="E533" s="3"/>
      <c r="F533" s="4"/>
      <c r="G533" s="4"/>
    </row>
    <row r="534" spans="3:7" ht="17.25" customHeight="1" x14ac:dyDescent="1">
      <c r="C534" s="1"/>
      <c r="D534" s="2"/>
      <c r="E534" s="3"/>
      <c r="F534" s="4"/>
      <c r="G534" s="4"/>
    </row>
    <row r="535" spans="3:7" ht="17.25" customHeight="1" x14ac:dyDescent="1">
      <c r="C535" s="1"/>
      <c r="D535" s="2"/>
      <c r="E535" s="3"/>
      <c r="F535" s="4"/>
      <c r="G535" s="4"/>
    </row>
    <row r="536" spans="3:7" ht="17.25" customHeight="1" x14ac:dyDescent="1">
      <c r="C536" s="1"/>
      <c r="D536" s="2"/>
      <c r="E536" s="3"/>
      <c r="F536" s="4"/>
      <c r="G536" s="4"/>
    </row>
    <row r="537" spans="3:7" ht="17.25" customHeight="1" x14ac:dyDescent="1">
      <c r="C537" s="1"/>
      <c r="D537" s="2"/>
      <c r="E537" s="3"/>
      <c r="F537" s="4"/>
      <c r="G537" s="4"/>
    </row>
    <row r="538" spans="3:7" ht="17.25" customHeight="1" x14ac:dyDescent="1">
      <c r="C538" s="1"/>
      <c r="D538" s="2"/>
      <c r="E538" s="3"/>
      <c r="F538" s="4"/>
      <c r="G538" s="4"/>
    </row>
    <row r="539" spans="3:7" ht="17.25" customHeight="1" x14ac:dyDescent="1">
      <c r="C539" s="1"/>
      <c r="D539" s="2"/>
      <c r="E539" s="3"/>
      <c r="F539" s="4"/>
      <c r="G539" s="4"/>
    </row>
    <row r="540" spans="3:7" ht="17.25" customHeight="1" x14ac:dyDescent="1">
      <c r="C540" s="1"/>
      <c r="D540" s="2"/>
      <c r="E540" s="3"/>
      <c r="F540" s="4"/>
      <c r="G540" s="4"/>
    </row>
    <row r="541" spans="3:7" ht="17.25" customHeight="1" x14ac:dyDescent="1">
      <c r="C541" s="1"/>
      <c r="D541" s="2"/>
      <c r="E541" s="3"/>
      <c r="F541" s="4"/>
      <c r="G541" s="4"/>
    </row>
    <row r="542" spans="3:7" ht="17.25" customHeight="1" x14ac:dyDescent="1">
      <c r="C542" s="1"/>
      <c r="D542" s="2"/>
      <c r="E542" s="3"/>
      <c r="F542" s="4"/>
      <c r="G542" s="4"/>
    </row>
    <row r="543" spans="3:7" ht="17.25" customHeight="1" x14ac:dyDescent="1">
      <c r="C543" s="1"/>
      <c r="D543" s="2"/>
      <c r="E543" s="3"/>
      <c r="F543" s="4"/>
      <c r="G543" s="4"/>
    </row>
    <row r="544" spans="3:7" ht="17.25" customHeight="1" x14ac:dyDescent="1">
      <c r="C544" s="1"/>
      <c r="D544" s="2"/>
      <c r="E544" s="3"/>
      <c r="F544" s="4"/>
      <c r="G544" s="4"/>
    </row>
    <row r="545" spans="3:7" ht="17.25" customHeight="1" x14ac:dyDescent="1">
      <c r="C545" s="1"/>
      <c r="D545" s="2"/>
      <c r="E545" s="3"/>
      <c r="F545" s="4"/>
      <c r="G545" s="4"/>
    </row>
    <row r="546" spans="3:7" ht="17.25" customHeight="1" x14ac:dyDescent="1">
      <c r="C546" s="1"/>
      <c r="D546" s="2"/>
      <c r="E546" s="3"/>
      <c r="F546" s="4"/>
      <c r="G546" s="4"/>
    </row>
    <row r="547" spans="3:7" ht="17.25" customHeight="1" x14ac:dyDescent="1">
      <c r="C547" s="1"/>
      <c r="D547" s="2"/>
      <c r="E547" s="3"/>
      <c r="F547" s="4"/>
      <c r="G547" s="4"/>
    </row>
    <row r="548" spans="3:7" ht="17.25" customHeight="1" x14ac:dyDescent="1">
      <c r="C548" s="1"/>
      <c r="D548" s="2"/>
      <c r="E548" s="3"/>
      <c r="F548" s="4"/>
      <c r="G548" s="4"/>
    </row>
    <row r="549" spans="3:7" ht="17.25" customHeight="1" x14ac:dyDescent="1">
      <c r="C549" s="1"/>
      <c r="D549" s="2"/>
      <c r="E549" s="3"/>
      <c r="F549" s="4"/>
      <c r="G549" s="4"/>
    </row>
    <row r="550" spans="3:7" ht="17.25" customHeight="1" x14ac:dyDescent="1">
      <c r="C550" s="1"/>
      <c r="D550" s="2"/>
      <c r="E550" s="3"/>
      <c r="F550" s="4"/>
      <c r="G550" s="4"/>
    </row>
    <row r="551" spans="3:7" ht="17.25" customHeight="1" x14ac:dyDescent="1">
      <c r="C551" s="1"/>
      <c r="D551" s="2"/>
      <c r="E551" s="3"/>
      <c r="F551" s="4"/>
      <c r="G551" s="4"/>
    </row>
    <row r="552" spans="3:7" ht="17.25" customHeight="1" x14ac:dyDescent="1">
      <c r="C552" s="1"/>
      <c r="D552" s="2"/>
      <c r="E552" s="3"/>
      <c r="F552" s="4"/>
      <c r="G552" s="4"/>
    </row>
    <row r="553" spans="3:7" ht="17.25" customHeight="1" x14ac:dyDescent="1">
      <c r="C553" s="1"/>
      <c r="D553" s="2"/>
      <c r="E553" s="3"/>
      <c r="F553" s="4"/>
      <c r="G553" s="4"/>
    </row>
    <row r="554" spans="3:7" ht="17.25" customHeight="1" x14ac:dyDescent="1">
      <c r="C554" s="1"/>
      <c r="D554" s="2"/>
      <c r="E554" s="3"/>
      <c r="F554" s="4"/>
      <c r="G554" s="4"/>
    </row>
    <row r="555" spans="3:7" ht="17.25" customHeight="1" x14ac:dyDescent="1">
      <c r="C555" s="1"/>
      <c r="D555" s="2"/>
      <c r="E555" s="3"/>
      <c r="F555" s="4"/>
      <c r="G555" s="4"/>
    </row>
    <row r="556" spans="3:7" ht="17.25" customHeight="1" x14ac:dyDescent="1">
      <c r="C556" s="1"/>
      <c r="D556" s="2"/>
      <c r="E556" s="3"/>
      <c r="F556" s="4"/>
      <c r="G556" s="4"/>
    </row>
    <row r="557" spans="3:7" ht="17.25" customHeight="1" x14ac:dyDescent="1">
      <c r="C557" s="1"/>
      <c r="D557" s="2"/>
      <c r="E557" s="3"/>
      <c r="F557" s="4"/>
      <c r="G557" s="4"/>
    </row>
    <row r="558" spans="3:7" ht="17.25" customHeight="1" x14ac:dyDescent="1">
      <c r="C558" s="1"/>
      <c r="D558" s="2"/>
      <c r="E558" s="3"/>
      <c r="F558" s="4"/>
      <c r="G558" s="4"/>
    </row>
    <row r="559" spans="3:7" ht="17.25" customHeight="1" x14ac:dyDescent="1">
      <c r="C559" s="1"/>
      <c r="D559" s="2"/>
      <c r="E559" s="3"/>
      <c r="F559" s="4"/>
      <c r="G559" s="4"/>
    </row>
    <row r="560" spans="3:7" ht="17.25" customHeight="1" x14ac:dyDescent="1">
      <c r="C560" s="1"/>
      <c r="D560" s="2"/>
      <c r="E560" s="3"/>
      <c r="F560" s="4"/>
      <c r="G560" s="4"/>
    </row>
    <row r="561" spans="3:7" ht="17.25" customHeight="1" x14ac:dyDescent="1">
      <c r="C561" s="1"/>
      <c r="D561" s="2"/>
      <c r="E561" s="3"/>
      <c r="F561" s="4"/>
      <c r="G561" s="4"/>
    </row>
    <row r="562" spans="3:7" ht="17.25" customHeight="1" x14ac:dyDescent="1">
      <c r="C562" s="1"/>
      <c r="D562" s="2"/>
      <c r="E562" s="3"/>
      <c r="F562" s="4"/>
      <c r="G562" s="4"/>
    </row>
    <row r="563" spans="3:7" ht="17.25" customHeight="1" x14ac:dyDescent="1">
      <c r="C563" s="1"/>
      <c r="D563" s="2"/>
      <c r="E563" s="3"/>
      <c r="F563" s="4"/>
      <c r="G563" s="4"/>
    </row>
    <row r="564" spans="3:7" ht="17.25" customHeight="1" x14ac:dyDescent="1">
      <c r="C564" s="1"/>
      <c r="D564" s="2"/>
      <c r="E564" s="3"/>
      <c r="F564" s="4"/>
      <c r="G564" s="4"/>
    </row>
    <row r="565" spans="3:7" ht="17.25" customHeight="1" x14ac:dyDescent="1">
      <c r="C565" s="1"/>
      <c r="D565" s="2"/>
      <c r="E565" s="3"/>
      <c r="F565" s="4"/>
      <c r="G565" s="4"/>
    </row>
    <row r="566" spans="3:7" ht="17.25" customHeight="1" x14ac:dyDescent="1">
      <c r="C566" s="1"/>
      <c r="D566" s="2"/>
      <c r="E566" s="3"/>
      <c r="F566" s="4"/>
      <c r="G566" s="4"/>
    </row>
    <row r="567" spans="3:7" ht="17.25" customHeight="1" x14ac:dyDescent="1">
      <c r="C567" s="1"/>
      <c r="D567" s="2"/>
      <c r="E567" s="3"/>
      <c r="F567" s="4"/>
      <c r="G567" s="4"/>
    </row>
    <row r="568" spans="3:7" ht="17.25" customHeight="1" x14ac:dyDescent="1">
      <c r="C568" s="1"/>
      <c r="D568" s="2"/>
      <c r="E568" s="3"/>
      <c r="F568" s="4"/>
      <c r="G568" s="4"/>
    </row>
    <row r="569" spans="3:7" ht="17.25" customHeight="1" x14ac:dyDescent="1">
      <c r="C569" s="1"/>
      <c r="D569" s="2"/>
      <c r="E569" s="3"/>
      <c r="F569" s="4"/>
      <c r="G569" s="4"/>
    </row>
    <row r="570" spans="3:7" ht="17.25" customHeight="1" x14ac:dyDescent="1">
      <c r="C570" s="1"/>
      <c r="D570" s="2"/>
      <c r="E570" s="3"/>
      <c r="F570" s="4"/>
      <c r="G570" s="4"/>
    </row>
    <row r="571" spans="3:7" ht="17.25" customHeight="1" x14ac:dyDescent="1">
      <c r="C571" s="1"/>
      <c r="D571" s="2"/>
      <c r="E571" s="3"/>
      <c r="F571" s="4"/>
      <c r="G571" s="4"/>
    </row>
    <row r="572" spans="3:7" ht="17.25" customHeight="1" x14ac:dyDescent="1">
      <c r="C572" s="1"/>
      <c r="D572" s="2"/>
      <c r="E572" s="3"/>
      <c r="F572" s="4"/>
      <c r="G572" s="4"/>
    </row>
    <row r="573" spans="3:7" ht="17.25" customHeight="1" x14ac:dyDescent="1">
      <c r="C573" s="1"/>
      <c r="D573" s="2"/>
      <c r="E573" s="3"/>
      <c r="F573" s="4"/>
      <c r="G573" s="4"/>
    </row>
    <row r="574" spans="3:7" ht="17.25" customHeight="1" x14ac:dyDescent="1">
      <c r="C574" s="1"/>
      <c r="D574" s="2"/>
      <c r="E574" s="3"/>
      <c r="F574" s="4"/>
      <c r="G574" s="4"/>
    </row>
    <row r="575" spans="3:7" ht="17.25" customHeight="1" x14ac:dyDescent="1">
      <c r="C575" s="1"/>
      <c r="D575" s="2"/>
      <c r="E575" s="3"/>
      <c r="F575" s="4"/>
      <c r="G575" s="4"/>
    </row>
    <row r="576" spans="3:7" ht="17.25" customHeight="1" x14ac:dyDescent="1">
      <c r="C576" s="1"/>
      <c r="D576" s="2"/>
      <c r="E576" s="3"/>
      <c r="F576" s="4"/>
      <c r="G576" s="4"/>
    </row>
    <row r="577" spans="3:7" ht="17.25" customHeight="1" x14ac:dyDescent="1">
      <c r="C577" s="1"/>
      <c r="D577" s="2"/>
      <c r="E577" s="3"/>
      <c r="F577" s="4"/>
      <c r="G577" s="4"/>
    </row>
    <row r="578" spans="3:7" ht="17.25" customHeight="1" x14ac:dyDescent="1">
      <c r="C578" s="1"/>
      <c r="D578" s="2"/>
      <c r="E578" s="3"/>
      <c r="F578" s="4"/>
      <c r="G578" s="4"/>
    </row>
    <row r="579" spans="3:7" ht="17.25" customHeight="1" x14ac:dyDescent="1">
      <c r="C579" s="1"/>
      <c r="D579" s="2"/>
      <c r="E579" s="3"/>
      <c r="F579" s="4"/>
      <c r="G579" s="4"/>
    </row>
    <row r="580" spans="3:7" ht="17.25" customHeight="1" x14ac:dyDescent="1">
      <c r="C580" s="1"/>
      <c r="D580" s="2"/>
      <c r="E580" s="3"/>
      <c r="F580" s="4"/>
      <c r="G580" s="4"/>
    </row>
    <row r="581" spans="3:7" ht="17.25" customHeight="1" x14ac:dyDescent="1">
      <c r="C581" s="1"/>
      <c r="D581" s="2"/>
      <c r="E581" s="3"/>
      <c r="F581" s="4"/>
      <c r="G581" s="4"/>
    </row>
    <row r="582" spans="3:7" ht="17.25" customHeight="1" x14ac:dyDescent="1">
      <c r="C582" s="1"/>
      <c r="D582" s="2"/>
      <c r="E582" s="3"/>
      <c r="F582" s="4"/>
      <c r="G582" s="4"/>
    </row>
    <row r="583" spans="3:7" ht="17.25" customHeight="1" x14ac:dyDescent="1">
      <c r="C583" s="1"/>
      <c r="D583" s="2"/>
      <c r="E583" s="3"/>
      <c r="F583" s="4"/>
      <c r="G583" s="4"/>
    </row>
    <row r="584" spans="3:7" ht="17.25" customHeight="1" x14ac:dyDescent="1">
      <c r="C584" s="1"/>
      <c r="D584" s="2"/>
      <c r="E584" s="3"/>
      <c r="F584" s="4"/>
      <c r="G584" s="4"/>
    </row>
    <row r="585" spans="3:7" ht="17.25" customHeight="1" x14ac:dyDescent="1">
      <c r="C585" s="1"/>
      <c r="D585" s="2"/>
      <c r="E585" s="3"/>
      <c r="F585" s="4"/>
      <c r="G585" s="4"/>
    </row>
    <row r="586" spans="3:7" ht="17.25" customHeight="1" x14ac:dyDescent="1">
      <c r="C586" s="1"/>
      <c r="D586" s="2"/>
      <c r="E586" s="3"/>
      <c r="F586" s="4"/>
      <c r="G586" s="4"/>
    </row>
    <row r="587" spans="3:7" ht="17.25" customHeight="1" x14ac:dyDescent="1">
      <c r="C587" s="1"/>
      <c r="D587" s="2"/>
      <c r="E587" s="3"/>
      <c r="F587" s="4"/>
      <c r="G587" s="4"/>
    </row>
    <row r="588" spans="3:7" ht="17.25" customHeight="1" x14ac:dyDescent="1">
      <c r="C588" s="1"/>
      <c r="D588" s="2"/>
      <c r="E588" s="3"/>
      <c r="F588" s="4"/>
      <c r="G588" s="4"/>
    </row>
    <row r="589" spans="3:7" ht="17.25" customHeight="1" x14ac:dyDescent="1">
      <c r="C589" s="1"/>
      <c r="D589" s="2"/>
      <c r="E589" s="3"/>
      <c r="F589" s="4"/>
      <c r="G589" s="4"/>
    </row>
    <row r="590" spans="3:7" ht="17.25" customHeight="1" x14ac:dyDescent="1">
      <c r="C590" s="1"/>
      <c r="D590" s="2"/>
      <c r="E590" s="3"/>
      <c r="F590" s="4"/>
      <c r="G590" s="4"/>
    </row>
    <row r="591" spans="3:7" ht="17.25" customHeight="1" x14ac:dyDescent="1">
      <c r="C591" s="1"/>
      <c r="D591" s="2"/>
      <c r="E591" s="3"/>
      <c r="F591" s="4"/>
      <c r="G591" s="4"/>
    </row>
    <row r="592" spans="3:7" ht="17.25" customHeight="1" x14ac:dyDescent="1">
      <c r="C592" s="1"/>
      <c r="D592" s="2"/>
      <c r="E592" s="3"/>
      <c r="F592" s="4"/>
      <c r="G592" s="4"/>
    </row>
    <row r="593" spans="3:7" ht="17.25" customHeight="1" x14ac:dyDescent="1">
      <c r="C593" s="1"/>
      <c r="D593" s="2"/>
      <c r="E593" s="3"/>
      <c r="F593" s="4"/>
      <c r="G593" s="4"/>
    </row>
    <row r="594" spans="3:7" ht="17.25" customHeight="1" x14ac:dyDescent="1">
      <c r="C594" s="1"/>
      <c r="D594" s="2"/>
      <c r="E594" s="3"/>
      <c r="F594" s="4"/>
      <c r="G594" s="4"/>
    </row>
    <row r="595" spans="3:7" ht="17.25" customHeight="1" x14ac:dyDescent="1">
      <c r="C595" s="1"/>
      <c r="D595" s="2"/>
      <c r="E595" s="3"/>
      <c r="F595" s="4"/>
      <c r="G595" s="4"/>
    </row>
    <row r="596" spans="3:7" ht="17.25" customHeight="1" x14ac:dyDescent="1">
      <c r="C596" s="1"/>
      <c r="D596" s="2"/>
      <c r="E596" s="3"/>
      <c r="F596" s="4"/>
      <c r="G596" s="4"/>
    </row>
    <row r="597" spans="3:7" ht="17.25" customHeight="1" x14ac:dyDescent="1">
      <c r="C597" s="1"/>
      <c r="D597" s="2"/>
      <c r="E597" s="3"/>
      <c r="F597" s="4"/>
      <c r="G597" s="4"/>
    </row>
    <row r="598" spans="3:7" ht="17.25" customHeight="1" x14ac:dyDescent="1">
      <c r="C598" s="1"/>
      <c r="D598" s="2"/>
      <c r="E598" s="3"/>
      <c r="F598" s="4"/>
      <c r="G598" s="4"/>
    </row>
    <row r="599" spans="3:7" ht="17.25" customHeight="1" x14ac:dyDescent="1">
      <c r="C599" s="1"/>
      <c r="D599" s="2"/>
      <c r="E599" s="3"/>
      <c r="F599" s="4"/>
      <c r="G599" s="4"/>
    </row>
    <row r="600" spans="3:7" ht="17.25" customHeight="1" x14ac:dyDescent="1">
      <c r="C600" s="1"/>
      <c r="D600" s="2"/>
      <c r="E600" s="3"/>
      <c r="F600" s="4"/>
      <c r="G600" s="4"/>
    </row>
    <row r="601" spans="3:7" ht="17.25" customHeight="1" x14ac:dyDescent="1">
      <c r="C601" s="1"/>
      <c r="D601" s="2"/>
      <c r="E601" s="3"/>
      <c r="F601" s="4"/>
      <c r="G601" s="4"/>
    </row>
    <row r="602" spans="3:7" ht="17.25" customHeight="1" x14ac:dyDescent="1">
      <c r="C602" s="1"/>
      <c r="D602" s="2"/>
      <c r="E602" s="3"/>
      <c r="F602" s="4"/>
      <c r="G602" s="4"/>
    </row>
    <row r="603" spans="3:7" ht="17.25" customHeight="1" x14ac:dyDescent="1">
      <c r="C603" s="1"/>
      <c r="D603" s="2"/>
      <c r="E603" s="3"/>
      <c r="F603" s="4"/>
      <c r="G603" s="4"/>
    </row>
    <row r="604" spans="3:7" ht="17.25" customHeight="1" x14ac:dyDescent="1">
      <c r="C604" s="1"/>
      <c r="D604" s="2"/>
      <c r="E604" s="3"/>
      <c r="F604" s="4"/>
      <c r="G604" s="4"/>
    </row>
    <row r="605" spans="3:7" ht="17.25" customHeight="1" x14ac:dyDescent="1">
      <c r="C605" s="1"/>
      <c r="D605" s="2"/>
      <c r="E605" s="3"/>
      <c r="F605" s="4"/>
      <c r="G605" s="4"/>
    </row>
    <row r="606" spans="3:7" ht="17.25" customHeight="1" x14ac:dyDescent="1">
      <c r="C606" s="1"/>
      <c r="D606" s="2"/>
      <c r="E606" s="3"/>
      <c r="F606" s="4"/>
      <c r="G606" s="4"/>
    </row>
    <row r="607" spans="3:7" ht="17.25" customHeight="1" x14ac:dyDescent="1">
      <c r="C607" s="1"/>
      <c r="D607" s="2"/>
      <c r="E607" s="3"/>
      <c r="F607" s="4"/>
      <c r="G607" s="4"/>
    </row>
    <row r="608" spans="3:7" ht="17.25" customHeight="1" x14ac:dyDescent="1">
      <c r="C608" s="1"/>
      <c r="D608" s="2"/>
      <c r="E608" s="3"/>
      <c r="F608" s="4"/>
      <c r="G608" s="4"/>
    </row>
    <row r="609" spans="3:7" ht="17.25" customHeight="1" x14ac:dyDescent="1">
      <c r="C609" s="1"/>
      <c r="D609" s="2"/>
      <c r="E609" s="3"/>
      <c r="F609" s="4"/>
      <c r="G609" s="4"/>
    </row>
    <row r="610" spans="3:7" ht="17.25" customHeight="1" x14ac:dyDescent="1">
      <c r="C610" s="1"/>
      <c r="D610" s="2"/>
      <c r="E610" s="3"/>
      <c r="F610" s="4"/>
      <c r="G610" s="4"/>
    </row>
    <row r="611" spans="3:7" ht="17.25" customHeight="1" x14ac:dyDescent="1">
      <c r="C611" s="1"/>
      <c r="D611" s="2"/>
      <c r="E611" s="3"/>
      <c r="F611" s="4"/>
      <c r="G611" s="4"/>
    </row>
    <row r="612" spans="3:7" ht="17.25" customHeight="1" x14ac:dyDescent="1">
      <c r="C612" s="1"/>
      <c r="D612" s="2"/>
      <c r="E612" s="3"/>
      <c r="F612" s="4"/>
      <c r="G612" s="4"/>
    </row>
    <row r="613" spans="3:7" ht="17.25" customHeight="1" x14ac:dyDescent="1">
      <c r="C613" s="1"/>
      <c r="D613" s="2"/>
      <c r="E613" s="3"/>
      <c r="F613" s="4"/>
      <c r="G613" s="4"/>
    </row>
    <row r="614" spans="3:7" ht="17.25" customHeight="1" x14ac:dyDescent="1">
      <c r="C614" s="1"/>
      <c r="D614" s="2"/>
      <c r="E614" s="3"/>
      <c r="F614" s="4"/>
      <c r="G614" s="4"/>
    </row>
    <row r="615" spans="3:7" ht="17.25" customHeight="1" x14ac:dyDescent="1">
      <c r="C615" s="1"/>
      <c r="D615" s="2"/>
      <c r="E615" s="3"/>
      <c r="F615" s="4"/>
      <c r="G615" s="4"/>
    </row>
    <row r="616" spans="3:7" ht="17.25" customHeight="1" x14ac:dyDescent="1">
      <c r="C616" s="1"/>
      <c r="D616" s="2"/>
      <c r="E616" s="3"/>
      <c r="F616" s="4"/>
      <c r="G616" s="4"/>
    </row>
    <row r="617" spans="3:7" ht="17.25" customHeight="1" x14ac:dyDescent="1">
      <c r="C617" s="1"/>
      <c r="D617" s="2"/>
      <c r="E617" s="3"/>
      <c r="F617" s="4"/>
      <c r="G617" s="4"/>
    </row>
    <row r="618" spans="3:7" ht="17.25" customHeight="1" x14ac:dyDescent="1">
      <c r="C618" s="1"/>
      <c r="D618" s="2"/>
      <c r="E618" s="3"/>
      <c r="F618" s="4"/>
      <c r="G618" s="4"/>
    </row>
    <row r="619" spans="3:7" ht="17.25" customHeight="1" x14ac:dyDescent="1">
      <c r="C619" s="1"/>
      <c r="D619" s="2"/>
      <c r="E619" s="3"/>
      <c r="F619" s="4"/>
      <c r="G619" s="4"/>
    </row>
    <row r="620" spans="3:7" ht="17.25" customHeight="1" x14ac:dyDescent="1">
      <c r="C620" s="1"/>
      <c r="D620" s="2"/>
      <c r="E620" s="3"/>
      <c r="F620" s="4"/>
      <c r="G620" s="4"/>
    </row>
    <row r="621" spans="3:7" ht="17.25" customHeight="1" x14ac:dyDescent="1">
      <c r="C621" s="1"/>
      <c r="D621" s="2"/>
      <c r="E621" s="3"/>
      <c r="F621" s="4"/>
      <c r="G621" s="4"/>
    </row>
    <row r="622" spans="3:7" ht="17.25" customHeight="1" x14ac:dyDescent="1">
      <c r="C622" s="1"/>
      <c r="D622" s="2"/>
      <c r="E622" s="3"/>
      <c r="F622" s="4"/>
      <c r="G622" s="4"/>
    </row>
    <row r="623" spans="3:7" ht="17.25" customHeight="1" x14ac:dyDescent="1">
      <c r="C623" s="1"/>
      <c r="D623" s="2"/>
      <c r="E623" s="3"/>
      <c r="F623" s="4"/>
      <c r="G623" s="4"/>
    </row>
    <row r="624" spans="3:7" ht="17.25" customHeight="1" x14ac:dyDescent="1">
      <c r="C624" s="1"/>
      <c r="D624" s="2"/>
      <c r="E624" s="3"/>
      <c r="F624" s="4"/>
      <c r="G624" s="4"/>
    </row>
    <row r="625" spans="3:7" ht="17.25" customHeight="1" x14ac:dyDescent="1">
      <c r="C625" s="1"/>
      <c r="D625" s="2"/>
      <c r="E625" s="3"/>
      <c r="F625" s="4"/>
      <c r="G625" s="4"/>
    </row>
    <row r="626" spans="3:7" ht="17.25" customHeight="1" x14ac:dyDescent="1">
      <c r="C626" s="1"/>
      <c r="D626" s="2"/>
      <c r="E626" s="3"/>
      <c r="F626" s="4"/>
      <c r="G626" s="4"/>
    </row>
    <row r="627" spans="3:7" ht="17.25" customHeight="1" x14ac:dyDescent="1">
      <c r="C627" s="1"/>
      <c r="D627" s="2"/>
      <c r="E627" s="3"/>
      <c r="F627" s="4"/>
      <c r="G627" s="4"/>
    </row>
    <row r="628" spans="3:7" ht="17.25" customHeight="1" x14ac:dyDescent="1">
      <c r="C628" s="1"/>
      <c r="D628" s="2"/>
      <c r="E628" s="3"/>
      <c r="F628" s="4"/>
      <c r="G628" s="4"/>
    </row>
    <row r="629" spans="3:7" ht="17.25" customHeight="1" x14ac:dyDescent="1">
      <c r="C629" s="1"/>
      <c r="D629" s="2"/>
      <c r="E629" s="3"/>
      <c r="F629" s="4"/>
      <c r="G629" s="4"/>
    </row>
    <row r="630" spans="3:7" ht="17.25" customHeight="1" x14ac:dyDescent="1">
      <c r="C630" s="1"/>
      <c r="D630" s="2"/>
      <c r="E630" s="3"/>
      <c r="F630" s="4"/>
      <c r="G630" s="4"/>
    </row>
    <row r="631" spans="3:7" ht="17.25" customHeight="1" x14ac:dyDescent="1">
      <c r="C631" s="1"/>
      <c r="D631" s="2"/>
      <c r="E631" s="3"/>
      <c r="F631" s="4"/>
      <c r="G631" s="4"/>
    </row>
    <row r="632" spans="3:7" ht="17.25" customHeight="1" x14ac:dyDescent="1">
      <c r="C632" s="1"/>
      <c r="D632" s="2"/>
      <c r="E632" s="3"/>
      <c r="F632" s="4"/>
      <c r="G632" s="4"/>
    </row>
    <row r="633" spans="3:7" ht="17.25" customHeight="1" x14ac:dyDescent="1">
      <c r="C633" s="1"/>
      <c r="D633" s="2"/>
      <c r="E633" s="3"/>
      <c r="F633" s="4"/>
      <c r="G633" s="4"/>
    </row>
    <row r="634" spans="3:7" ht="17.25" customHeight="1" x14ac:dyDescent="1">
      <c r="C634" s="1"/>
      <c r="D634" s="2"/>
      <c r="E634" s="3"/>
      <c r="F634" s="4"/>
      <c r="G634" s="4"/>
    </row>
    <row r="635" spans="3:7" ht="17.25" customHeight="1" x14ac:dyDescent="1">
      <c r="C635" s="1"/>
      <c r="D635" s="2"/>
      <c r="E635" s="3"/>
      <c r="F635" s="4"/>
      <c r="G635" s="4"/>
    </row>
    <row r="636" spans="3:7" ht="17.25" customHeight="1" x14ac:dyDescent="1">
      <c r="C636" s="1"/>
      <c r="D636" s="2"/>
      <c r="E636" s="3"/>
      <c r="F636" s="4"/>
      <c r="G636" s="4"/>
    </row>
    <row r="637" spans="3:7" ht="17.25" customHeight="1" x14ac:dyDescent="1">
      <c r="C637" s="1"/>
      <c r="D637" s="2"/>
      <c r="E637" s="3"/>
      <c r="F637" s="4"/>
      <c r="G637" s="4"/>
    </row>
    <row r="638" spans="3:7" ht="17.25" customHeight="1" x14ac:dyDescent="1">
      <c r="C638" s="1"/>
      <c r="D638" s="2"/>
      <c r="E638" s="3"/>
      <c r="F638" s="4"/>
      <c r="G638" s="4"/>
    </row>
    <row r="639" spans="3:7" ht="17.25" customHeight="1" x14ac:dyDescent="1">
      <c r="C639" s="1"/>
      <c r="D639" s="2"/>
      <c r="E639" s="3"/>
      <c r="F639" s="4"/>
      <c r="G639" s="4"/>
    </row>
    <row r="640" spans="3:7" ht="17.25" customHeight="1" x14ac:dyDescent="1">
      <c r="C640" s="1"/>
      <c r="D640" s="2"/>
      <c r="E640" s="3"/>
      <c r="F640" s="4"/>
      <c r="G640" s="4"/>
    </row>
    <row r="641" spans="3:7" ht="17.25" customHeight="1" x14ac:dyDescent="1">
      <c r="C641" s="1"/>
      <c r="D641" s="2"/>
      <c r="E641" s="3"/>
      <c r="F641" s="4"/>
      <c r="G641" s="4"/>
    </row>
    <row r="642" spans="3:7" ht="17.25" customHeight="1" x14ac:dyDescent="1">
      <c r="C642" s="1"/>
      <c r="D642" s="2"/>
      <c r="E642" s="3"/>
      <c r="F642" s="4"/>
      <c r="G642" s="4"/>
    </row>
    <row r="643" spans="3:7" ht="17.25" customHeight="1" x14ac:dyDescent="1">
      <c r="C643" s="1"/>
      <c r="D643" s="2"/>
      <c r="E643" s="3"/>
      <c r="F643" s="4"/>
      <c r="G643" s="4"/>
    </row>
    <row r="644" spans="3:7" ht="17.25" customHeight="1" x14ac:dyDescent="1">
      <c r="C644" s="1"/>
      <c r="D644" s="2"/>
      <c r="E644" s="3"/>
      <c r="F644" s="4"/>
      <c r="G644" s="4"/>
    </row>
    <row r="645" spans="3:7" ht="17.25" customHeight="1" x14ac:dyDescent="1">
      <c r="C645" s="1"/>
      <c r="D645" s="2"/>
      <c r="E645" s="3"/>
      <c r="F645" s="4"/>
      <c r="G645" s="4"/>
    </row>
    <row r="646" spans="3:7" ht="17.25" customHeight="1" x14ac:dyDescent="1">
      <c r="C646" s="1"/>
      <c r="D646" s="2"/>
      <c r="E646" s="3"/>
      <c r="F646" s="4"/>
      <c r="G646" s="4"/>
    </row>
    <row r="647" spans="3:7" ht="17.25" customHeight="1" x14ac:dyDescent="1">
      <c r="C647" s="1"/>
      <c r="D647" s="2"/>
      <c r="E647" s="3"/>
      <c r="F647" s="4"/>
      <c r="G647" s="4"/>
    </row>
    <row r="648" spans="3:7" ht="17.25" customHeight="1" x14ac:dyDescent="1">
      <c r="C648" s="1"/>
      <c r="D648" s="2"/>
      <c r="E648" s="3"/>
      <c r="F648" s="4"/>
      <c r="G648" s="4"/>
    </row>
    <row r="649" spans="3:7" ht="17.25" customHeight="1" x14ac:dyDescent="1">
      <c r="C649" s="1"/>
      <c r="D649" s="2"/>
      <c r="E649" s="3"/>
      <c r="F649" s="4"/>
      <c r="G649" s="4"/>
    </row>
    <row r="650" spans="3:7" ht="17.25" customHeight="1" x14ac:dyDescent="1">
      <c r="C650" s="1"/>
      <c r="D650" s="2"/>
      <c r="E650" s="3"/>
      <c r="F650" s="4"/>
      <c r="G650" s="4"/>
    </row>
    <row r="651" spans="3:7" ht="17.25" customHeight="1" x14ac:dyDescent="1">
      <c r="C651" s="1"/>
      <c r="D651" s="2"/>
      <c r="E651" s="3"/>
      <c r="F651" s="4"/>
      <c r="G651" s="4"/>
    </row>
    <row r="652" spans="3:7" ht="17.25" customHeight="1" x14ac:dyDescent="1">
      <c r="C652" s="1"/>
      <c r="D652" s="2"/>
      <c r="E652" s="3"/>
      <c r="F652" s="4"/>
      <c r="G652" s="4"/>
    </row>
    <row r="653" spans="3:7" ht="17.25" customHeight="1" x14ac:dyDescent="1">
      <c r="C653" s="1"/>
      <c r="D653" s="2"/>
      <c r="E653" s="3"/>
      <c r="F653" s="4"/>
      <c r="G653" s="4"/>
    </row>
    <row r="654" spans="3:7" ht="17.25" customHeight="1" x14ac:dyDescent="1">
      <c r="C654" s="1"/>
      <c r="D654" s="2"/>
      <c r="E654" s="3"/>
      <c r="F654" s="4"/>
      <c r="G654" s="4"/>
    </row>
    <row r="655" spans="3:7" ht="17.25" customHeight="1" x14ac:dyDescent="1">
      <c r="C655" s="1"/>
      <c r="D655" s="2"/>
      <c r="E655" s="3"/>
      <c r="F655" s="4"/>
      <c r="G655" s="4"/>
    </row>
    <row r="656" spans="3:7" ht="17.25" customHeight="1" x14ac:dyDescent="1">
      <c r="C656" s="1"/>
      <c r="D656" s="2"/>
      <c r="E656" s="3"/>
      <c r="F656" s="4"/>
      <c r="G656" s="4"/>
    </row>
    <row r="657" spans="3:7" ht="17.25" customHeight="1" x14ac:dyDescent="1">
      <c r="C657" s="1"/>
      <c r="D657" s="2"/>
      <c r="E657" s="3"/>
      <c r="F657" s="4"/>
      <c r="G657" s="4"/>
    </row>
    <row r="658" spans="3:7" ht="17.25" customHeight="1" x14ac:dyDescent="1">
      <c r="C658" s="1"/>
      <c r="D658" s="2"/>
      <c r="E658" s="3"/>
      <c r="F658" s="4"/>
      <c r="G658" s="4"/>
    </row>
    <row r="659" spans="3:7" ht="17.25" customHeight="1" x14ac:dyDescent="1">
      <c r="C659" s="1"/>
      <c r="D659" s="2"/>
      <c r="E659" s="3"/>
      <c r="F659" s="4"/>
      <c r="G659" s="4"/>
    </row>
    <row r="660" spans="3:7" ht="17.25" customHeight="1" x14ac:dyDescent="1">
      <c r="C660" s="1"/>
      <c r="D660" s="2"/>
      <c r="E660" s="3"/>
      <c r="F660" s="4"/>
      <c r="G660" s="4"/>
    </row>
    <row r="661" spans="3:7" ht="17.25" customHeight="1" x14ac:dyDescent="1">
      <c r="C661" s="1"/>
      <c r="D661" s="2"/>
      <c r="E661" s="3"/>
      <c r="F661" s="4"/>
      <c r="G661" s="4"/>
    </row>
    <row r="662" spans="3:7" ht="17.25" customHeight="1" x14ac:dyDescent="1">
      <c r="C662" s="1"/>
      <c r="D662" s="2"/>
      <c r="E662" s="3"/>
      <c r="F662" s="4"/>
      <c r="G662" s="4"/>
    </row>
    <row r="663" spans="3:7" ht="17.25" customHeight="1" x14ac:dyDescent="1">
      <c r="C663" s="1"/>
      <c r="D663" s="2"/>
      <c r="E663" s="3"/>
      <c r="F663" s="4"/>
      <c r="G663" s="4"/>
    </row>
    <row r="664" spans="3:7" ht="17.25" customHeight="1" x14ac:dyDescent="1">
      <c r="C664" s="1"/>
      <c r="D664" s="2"/>
      <c r="E664" s="3"/>
      <c r="F664" s="4"/>
      <c r="G664" s="4"/>
    </row>
    <row r="665" spans="3:7" ht="17.25" customHeight="1" x14ac:dyDescent="1">
      <c r="C665" s="1"/>
      <c r="D665" s="2"/>
      <c r="E665" s="3"/>
      <c r="F665" s="4"/>
      <c r="G665" s="4"/>
    </row>
    <row r="666" spans="3:7" ht="17.25" customHeight="1" x14ac:dyDescent="1">
      <c r="C666" s="1"/>
      <c r="D666" s="2"/>
      <c r="E666" s="3"/>
      <c r="F666" s="4"/>
      <c r="G666" s="4"/>
    </row>
    <row r="667" spans="3:7" ht="17.25" customHeight="1" x14ac:dyDescent="1">
      <c r="C667" s="1"/>
      <c r="D667" s="2"/>
      <c r="E667" s="3"/>
      <c r="F667" s="4"/>
      <c r="G667" s="4"/>
    </row>
    <row r="668" spans="3:7" ht="17.25" customHeight="1" x14ac:dyDescent="1">
      <c r="C668" s="1"/>
      <c r="D668" s="2"/>
      <c r="E668" s="3"/>
      <c r="F668" s="4"/>
      <c r="G668" s="4"/>
    </row>
    <row r="669" spans="3:7" ht="17.25" customHeight="1" x14ac:dyDescent="1">
      <c r="C669" s="1"/>
      <c r="D669" s="2"/>
      <c r="E669" s="3"/>
      <c r="F669" s="4"/>
      <c r="G669" s="4"/>
    </row>
    <row r="670" spans="3:7" ht="17.25" customHeight="1" x14ac:dyDescent="1">
      <c r="C670" s="1"/>
      <c r="D670" s="2"/>
      <c r="E670" s="3"/>
      <c r="F670" s="4"/>
      <c r="G670" s="4"/>
    </row>
    <row r="671" spans="3:7" ht="17.25" customHeight="1" x14ac:dyDescent="1">
      <c r="C671" s="1"/>
      <c r="D671" s="2"/>
      <c r="E671" s="3"/>
      <c r="F671" s="4"/>
      <c r="G671" s="4"/>
    </row>
    <row r="672" spans="3:7" ht="17.25" customHeight="1" x14ac:dyDescent="1">
      <c r="C672" s="1"/>
      <c r="D672" s="2"/>
      <c r="E672" s="3"/>
      <c r="F672" s="4"/>
      <c r="G672" s="4"/>
    </row>
    <row r="673" spans="3:7" ht="17.25" customHeight="1" x14ac:dyDescent="1">
      <c r="C673" s="1"/>
      <c r="D673" s="2"/>
      <c r="E673" s="3"/>
      <c r="F673" s="4"/>
      <c r="G673" s="4"/>
    </row>
    <row r="674" spans="3:7" ht="17.25" customHeight="1" x14ac:dyDescent="1">
      <c r="C674" s="1"/>
      <c r="D674" s="2"/>
      <c r="E674" s="3"/>
      <c r="F674" s="4"/>
      <c r="G674" s="4"/>
    </row>
    <row r="675" spans="3:7" ht="17.25" customHeight="1" x14ac:dyDescent="1">
      <c r="C675" s="1"/>
      <c r="D675" s="2"/>
      <c r="E675" s="3"/>
      <c r="F675" s="4"/>
      <c r="G675" s="4"/>
    </row>
    <row r="676" spans="3:7" ht="17.25" customHeight="1" x14ac:dyDescent="1">
      <c r="C676" s="1"/>
      <c r="D676" s="2"/>
      <c r="E676" s="3"/>
      <c r="F676" s="4"/>
      <c r="G676" s="4"/>
    </row>
    <row r="677" spans="3:7" ht="17.25" customHeight="1" x14ac:dyDescent="1">
      <c r="C677" s="1"/>
      <c r="D677" s="2"/>
      <c r="E677" s="3"/>
      <c r="F677" s="4"/>
      <c r="G677" s="4"/>
    </row>
    <row r="678" spans="3:7" ht="17.25" customHeight="1" x14ac:dyDescent="1">
      <c r="C678" s="1"/>
      <c r="D678" s="2"/>
      <c r="E678" s="3"/>
      <c r="F678" s="4"/>
      <c r="G678" s="4"/>
    </row>
    <row r="679" spans="3:7" ht="17.25" customHeight="1" x14ac:dyDescent="1">
      <c r="C679" s="1"/>
      <c r="D679" s="2"/>
      <c r="E679" s="3"/>
      <c r="F679" s="4"/>
      <c r="G679" s="4"/>
    </row>
    <row r="680" spans="3:7" ht="17.25" customHeight="1" x14ac:dyDescent="1">
      <c r="C680" s="1"/>
      <c r="D680" s="2"/>
      <c r="E680" s="3"/>
      <c r="F680" s="4"/>
      <c r="G680" s="4"/>
    </row>
    <row r="681" spans="3:7" ht="17.25" customHeight="1" x14ac:dyDescent="1">
      <c r="C681" s="1"/>
      <c r="D681" s="2"/>
      <c r="E681" s="3"/>
      <c r="F681" s="4"/>
      <c r="G681" s="4"/>
    </row>
    <row r="682" spans="3:7" ht="17.25" customHeight="1" x14ac:dyDescent="1">
      <c r="C682" s="1"/>
      <c r="D682" s="2"/>
      <c r="E682" s="3"/>
      <c r="F682" s="4"/>
      <c r="G682" s="4"/>
    </row>
    <row r="683" spans="3:7" ht="17.25" customHeight="1" x14ac:dyDescent="1">
      <c r="C683" s="1"/>
      <c r="D683" s="2"/>
      <c r="E683" s="3"/>
      <c r="F683" s="4"/>
      <c r="G683" s="4"/>
    </row>
    <row r="684" spans="3:7" ht="17.25" customHeight="1" x14ac:dyDescent="1">
      <c r="C684" s="1"/>
      <c r="D684" s="2"/>
      <c r="E684" s="3"/>
      <c r="F684" s="4"/>
      <c r="G684" s="4"/>
    </row>
    <row r="685" spans="3:7" ht="17.25" customHeight="1" x14ac:dyDescent="1">
      <c r="C685" s="1"/>
      <c r="D685" s="2"/>
      <c r="E685" s="3"/>
      <c r="F685" s="4"/>
      <c r="G685" s="4"/>
    </row>
    <row r="686" spans="3:7" ht="17.25" customHeight="1" x14ac:dyDescent="1">
      <c r="C686" s="1"/>
      <c r="D686" s="2"/>
      <c r="E686" s="3"/>
      <c r="F686" s="4"/>
      <c r="G686" s="4"/>
    </row>
    <row r="687" spans="3:7" ht="17.25" customHeight="1" x14ac:dyDescent="1">
      <c r="C687" s="1"/>
      <c r="D687" s="2"/>
      <c r="E687" s="3"/>
      <c r="F687" s="4"/>
      <c r="G687" s="4"/>
    </row>
    <row r="688" spans="3:7" ht="17.25" customHeight="1" x14ac:dyDescent="1">
      <c r="C688" s="1"/>
      <c r="D688" s="2"/>
      <c r="E688" s="3"/>
      <c r="F688" s="4"/>
      <c r="G688" s="4"/>
    </row>
    <row r="689" spans="3:7" ht="17.25" customHeight="1" x14ac:dyDescent="1">
      <c r="C689" s="1"/>
      <c r="D689" s="2"/>
      <c r="E689" s="3"/>
      <c r="F689" s="4"/>
      <c r="G689" s="4"/>
    </row>
    <row r="690" spans="3:7" ht="17.25" customHeight="1" x14ac:dyDescent="1">
      <c r="C690" s="1"/>
      <c r="D690" s="2"/>
      <c r="E690" s="3"/>
      <c r="F690" s="4"/>
      <c r="G690" s="4"/>
    </row>
    <row r="691" spans="3:7" ht="17.25" customHeight="1" x14ac:dyDescent="1">
      <c r="C691" s="1"/>
      <c r="D691" s="2"/>
      <c r="E691" s="3"/>
      <c r="F691" s="4"/>
      <c r="G691" s="4"/>
    </row>
    <row r="692" spans="3:7" ht="17.25" customHeight="1" x14ac:dyDescent="1">
      <c r="C692" s="1"/>
      <c r="D692" s="2"/>
      <c r="E692" s="3"/>
      <c r="F692" s="4"/>
      <c r="G692" s="4"/>
    </row>
    <row r="693" spans="3:7" ht="17.25" customHeight="1" x14ac:dyDescent="1">
      <c r="C693" s="1"/>
      <c r="D693" s="2"/>
      <c r="E693" s="3"/>
      <c r="F693" s="4"/>
      <c r="G693" s="4"/>
    </row>
    <row r="694" spans="3:7" ht="17.25" customHeight="1" x14ac:dyDescent="1">
      <c r="C694" s="1"/>
      <c r="D694" s="2"/>
      <c r="E694" s="3"/>
      <c r="F694" s="4"/>
      <c r="G694" s="4"/>
    </row>
    <row r="695" spans="3:7" ht="17.25" customHeight="1" x14ac:dyDescent="1">
      <c r="C695" s="1"/>
      <c r="D695" s="2"/>
      <c r="E695" s="3"/>
      <c r="F695" s="4"/>
      <c r="G695" s="4"/>
    </row>
    <row r="696" spans="3:7" ht="17.25" customHeight="1" x14ac:dyDescent="1">
      <c r="C696" s="1"/>
      <c r="D696" s="2"/>
      <c r="E696" s="3"/>
      <c r="F696" s="4"/>
      <c r="G696" s="4"/>
    </row>
    <row r="697" spans="3:7" ht="17.25" customHeight="1" x14ac:dyDescent="1">
      <c r="C697" s="1"/>
      <c r="D697" s="2"/>
      <c r="E697" s="3"/>
      <c r="F697" s="4"/>
      <c r="G697" s="4"/>
    </row>
    <row r="698" spans="3:7" ht="17.25" customHeight="1" x14ac:dyDescent="1">
      <c r="C698" s="1"/>
      <c r="D698" s="2"/>
      <c r="E698" s="3"/>
      <c r="F698" s="4"/>
      <c r="G698" s="4"/>
    </row>
    <row r="699" spans="3:7" ht="17.25" customHeight="1" x14ac:dyDescent="1">
      <c r="C699" s="1"/>
      <c r="D699" s="2"/>
      <c r="E699" s="3"/>
      <c r="F699" s="4"/>
      <c r="G699" s="4"/>
    </row>
    <row r="700" spans="3:7" ht="17.25" customHeight="1" x14ac:dyDescent="1">
      <c r="C700" s="1"/>
      <c r="D700" s="2"/>
      <c r="E700" s="3"/>
      <c r="F700" s="4"/>
      <c r="G700" s="4"/>
    </row>
    <row r="701" spans="3:7" ht="17.25" customHeight="1" x14ac:dyDescent="1">
      <c r="C701" s="1"/>
      <c r="D701" s="2"/>
      <c r="E701" s="3"/>
      <c r="F701" s="4"/>
      <c r="G701" s="4"/>
    </row>
    <row r="702" spans="3:7" ht="17.25" customHeight="1" x14ac:dyDescent="1">
      <c r="C702" s="1"/>
      <c r="D702" s="2"/>
      <c r="E702" s="3"/>
      <c r="F702" s="4"/>
      <c r="G702" s="4"/>
    </row>
    <row r="703" spans="3:7" ht="17.25" customHeight="1" x14ac:dyDescent="1">
      <c r="C703" s="1"/>
      <c r="D703" s="2"/>
      <c r="E703" s="3"/>
      <c r="F703" s="4"/>
      <c r="G703" s="4"/>
    </row>
    <row r="704" spans="3:7" ht="17.25" customHeight="1" x14ac:dyDescent="1">
      <c r="C704" s="1"/>
      <c r="D704" s="2"/>
      <c r="E704" s="3"/>
      <c r="F704" s="4"/>
      <c r="G704" s="4"/>
    </row>
    <row r="705" spans="3:7" ht="17.25" customHeight="1" x14ac:dyDescent="1">
      <c r="C705" s="1"/>
      <c r="D705" s="2"/>
      <c r="E705" s="3"/>
      <c r="F705" s="4"/>
      <c r="G705" s="4"/>
    </row>
    <row r="706" spans="3:7" ht="17.25" customHeight="1" x14ac:dyDescent="1">
      <c r="C706" s="1"/>
      <c r="D706" s="2"/>
      <c r="E706" s="3"/>
      <c r="F706" s="4"/>
      <c r="G706" s="4"/>
    </row>
    <row r="707" spans="3:7" ht="17.25" customHeight="1" x14ac:dyDescent="1">
      <c r="C707" s="1"/>
      <c r="D707" s="2"/>
      <c r="E707" s="3"/>
      <c r="F707" s="4"/>
      <c r="G707" s="4"/>
    </row>
    <row r="708" spans="3:7" ht="17.25" customHeight="1" x14ac:dyDescent="1">
      <c r="C708" s="1"/>
      <c r="D708" s="2"/>
      <c r="E708" s="3"/>
      <c r="F708" s="4"/>
      <c r="G708" s="4"/>
    </row>
    <row r="709" spans="3:7" ht="17.25" customHeight="1" x14ac:dyDescent="1">
      <c r="C709" s="1"/>
      <c r="D709" s="2"/>
      <c r="E709" s="3"/>
      <c r="F709" s="4"/>
      <c r="G709" s="4"/>
    </row>
    <row r="710" spans="3:7" ht="17.25" customHeight="1" x14ac:dyDescent="1">
      <c r="C710" s="1"/>
      <c r="D710" s="2"/>
      <c r="E710" s="3"/>
      <c r="F710" s="4"/>
      <c r="G710" s="4"/>
    </row>
    <row r="711" spans="3:7" ht="17.25" customHeight="1" x14ac:dyDescent="1">
      <c r="C711" s="1"/>
      <c r="D711" s="2"/>
      <c r="E711" s="3"/>
      <c r="F711" s="4"/>
      <c r="G711" s="4"/>
    </row>
    <row r="712" spans="3:7" ht="17.25" customHeight="1" x14ac:dyDescent="1">
      <c r="C712" s="1"/>
      <c r="D712" s="2"/>
      <c r="E712" s="3"/>
      <c r="F712" s="4"/>
      <c r="G712" s="4"/>
    </row>
    <row r="713" spans="3:7" ht="17.25" customHeight="1" x14ac:dyDescent="1">
      <c r="C713" s="1"/>
      <c r="D713" s="2"/>
      <c r="E713" s="3"/>
      <c r="F713" s="4"/>
      <c r="G713" s="4"/>
    </row>
    <row r="714" spans="3:7" ht="17.25" customHeight="1" x14ac:dyDescent="1">
      <c r="C714" s="1"/>
      <c r="D714" s="2"/>
      <c r="E714" s="3"/>
      <c r="F714" s="4"/>
      <c r="G714" s="4"/>
    </row>
    <row r="715" spans="3:7" ht="17.25" customHeight="1" x14ac:dyDescent="1">
      <c r="C715" s="1"/>
      <c r="D715" s="2"/>
      <c r="E715" s="3"/>
      <c r="F715" s="4"/>
      <c r="G715" s="4"/>
    </row>
    <row r="716" spans="3:7" ht="17.25" customHeight="1" x14ac:dyDescent="1">
      <c r="C716" s="1"/>
      <c r="D716" s="2"/>
      <c r="E716" s="3"/>
      <c r="F716" s="4"/>
      <c r="G716" s="4"/>
    </row>
    <row r="717" spans="3:7" ht="17.25" customHeight="1" x14ac:dyDescent="1">
      <c r="C717" s="1"/>
      <c r="D717" s="2"/>
      <c r="E717" s="3"/>
      <c r="F717" s="4"/>
      <c r="G717" s="4"/>
    </row>
    <row r="718" spans="3:7" ht="17.25" customHeight="1" x14ac:dyDescent="1">
      <c r="C718" s="1"/>
      <c r="D718" s="2"/>
      <c r="E718" s="3"/>
      <c r="F718" s="4"/>
      <c r="G718" s="4"/>
    </row>
    <row r="719" spans="3:7" ht="17.25" customHeight="1" x14ac:dyDescent="1">
      <c r="C719" s="1"/>
      <c r="D719" s="2"/>
      <c r="E719" s="3"/>
      <c r="F719" s="4"/>
      <c r="G719" s="4"/>
    </row>
    <row r="720" spans="3:7" ht="17.25" customHeight="1" x14ac:dyDescent="1">
      <c r="C720" s="1"/>
      <c r="D720" s="2"/>
      <c r="E720" s="3"/>
      <c r="F720" s="4"/>
      <c r="G720" s="4"/>
    </row>
    <row r="721" spans="3:7" ht="17.25" customHeight="1" x14ac:dyDescent="1">
      <c r="C721" s="1"/>
      <c r="D721" s="2"/>
      <c r="E721" s="3"/>
      <c r="F721" s="4"/>
      <c r="G721" s="4"/>
    </row>
    <row r="722" spans="3:7" ht="17.25" customHeight="1" x14ac:dyDescent="1">
      <c r="C722" s="1"/>
      <c r="D722" s="2"/>
      <c r="E722" s="3"/>
      <c r="F722" s="4"/>
      <c r="G722" s="4"/>
    </row>
    <row r="723" spans="3:7" ht="17.25" customHeight="1" x14ac:dyDescent="1">
      <c r="C723" s="1"/>
      <c r="D723" s="2"/>
      <c r="E723" s="3"/>
      <c r="F723" s="4"/>
      <c r="G723" s="4"/>
    </row>
    <row r="724" spans="3:7" ht="17.25" customHeight="1" x14ac:dyDescent="1">
      <c r="C724" s="1"/>
      <c r="D724" s="2"/>
      <c r="E724" s="3"/>
      <c r="F724" s="4"/>
      <c r="G724" s="4"/>
    </row>
    <row r="725" spans="3:7" ht="17.25" customHeight="1" x14ac:dyDescent="1">
      <c r="C725" s="1"/>
      <c r="D725" s="2"/>
      <c r="E725" s="3"/>
      <c r="F725" s="4"/>
      <c r="G725" s="4"/>
    </row>
    <row r="726" spans="3:7" ht="17.25" customHeight="1" x14ac:dyDescent="1">
      <c r="C726" s="1"/>
      <c r="D726" s="2"/>
      <c r="E726" s="3"/>
      <c r="F726" s="4"/>
      <c r="G726" s="4"/>
    </row>
    <row r="727" spans="3:7" ht="17.25" customHeight="1" x14ac:dyDescent="1">
      <c r="C727" s="1"/>
      <c r="D727" s="2"/>
      <c r="E727" s="3"/>
      <c r="F727" s="4"/>
      <c r="G727" s="4"/>
    </row>
    <row r="728" spans="3:7" ht="17.25" customHeight="1" x14ac:dyDescent="1">
      <c r="C728" s="1"/>
      <c r="D728" s="2"/>
      <c r="E728" s="3"/>
      <c r="F728" s="4"/>
      <c r="G728" s="4"/>
    </row>
    <row r="729" spans="3:7" ht="17.25" customHeight="1" x14ac:dyDescent="1">
      <c r="C729" s="1"/>
      <c r="D729" s="2"/>
      <c r="E729" s="3"/>
      <c r="F729" s="4"/>
      <c r="G729" s="4"/>
    </row>
    <row r="730" spans="3:7" ht="17.25" customHeight="1" x14ac:dyDescent="1">
      <c r="C730" s="1"/>
      <c r="D730" s="2"/>
      <c r="E730" s="3"/>
      <c r="F730" s="4"/>
      <c r="G730" s="4"/>
    </row>
    <row r="731" spans="3:7" ht="17.25" customHeight="1" x14ac:dyDescent="1">
      <c r="C731" s="1"/>
      <c r="D731" s="2"/>
      <c r="E731" s="3"/>
      <c r="F731" s="4"/>
      <c r="G731" s="4"/>
    </row>
    <row r="732" spans="3:7" ht="17.25" customHeight="1" x14ac:dyDescent="1">
      <c r="C732" s="1"/>
      <c r="D732" s="2"/>
      <c r="E732" s="3"/>
      <c r="F732" s="4"/>
      <c r="G732" s="4"/>
    </row>
    <row r="733" spans="3:7" ht="17.25" customHeight="1" x14ac:dyDescent="1">
      <c r="C733" s="1"/>
      <c r="D733" s="2"/>
      <c r="E733" s="3"/>
      <c r="F733" s="4"/>
      <c r="G733" s="4"/>
    </row>
    <row r="734" spans="3:7" ht="17.25" customHeight="1" x14ac:dyDescent="1">
      <c r="C734" s="1"/>
      <c r="D734" s="2"/>
      <c r="E734" s="3"/>
      <c r="F734" s="4"/>
      <c r="G734" s="4"/>
    </row>
    <row r="735" spans="3:7" ht="17.25" customHeight="1" x14ac:dyDescent="1">
      <c r="C735" s="1"/>
      <c r="D735" s="2"/>
      <c r="E735" s="3"/>
      <c r="F735" s="4"/>
      <c r="G735" s="4"/>
    </row>
    <row r="736" spans="3:7" ht="17.25" customHeight="1" x14ac:dyDescent="1">
      <c r="C736" s="1"/>
      <c r="D736" s="2"/>
      <c r="E736" s="3"/>
      <c r="F736" s="4"/>
      <c r="G736" s="4"/>
    </row>
    <row r="737" spans="3:7" ht="17.25" customHeight="1" x14ac:dyDescent="1">
      <c r="C737" s="1"/>
      <c r="D737" s="2"/>
      <c r="E737" s="3"/>
      <c r="F737" s="4"/>
      <c r="G737" s="4"/>
    </row>
    <row r="738" spans="3:7" ht="17.25" customHeight="1" x14ac:dyDescent="1">
      <c r="C738" s="1"/>
      <c r="D738" s="2"/>
      <c r="E738" s="3"/>
      <c r="F738" s="4"/>
      <c r="G738" s="4"/>
    </row>
    <row r="739" spans="3:7" ht="17.25" customHeight="1" x14ac:dyDescent="1">
      <c r="C739" s="1"/>
      <c r="D739" s="2"/>
      <c r="E739" s="3"/>
      <c r="F739" s="4"/>
      <c r="G739" s="4"/>
    </row>
    <row r="740" spans="3:7" ht="17.25" customHeight="1" x14ac:dyDescent="1">
      <c r="C740" s="1"/>
      <c r="D740" s="2"/>
      <c r="E740" s="3"/>
      <c r="F740" s="4"/>
      <c r="G740" s="4"/>
    </row>
    <row r="741" spans="3:7" ht="17.25" customHeight="1" x14ac:dyDescent="1">
      <c r="C741" s="1"/>
      <c r="D741" s="2"/>
      <c r="E741" s="3"/>
      <c r="F741" s="4"/>
      <c r="G741" s="4"/>
    </row>
    <row r="742" spans="3:7" ht="17.25" customHeight="1" x14ac:dyDescent="1">
      <c r="C742" s="1"/>
      <c r="D742" s="2"/>
      <c r="E742" s="3"/>
      <c r="F742" s="4"/>
      <c r="G742" s="4"/>
    </row>
    <row r="743" spans="3:7" ht="17.25" customHeight="1" x14ac:dyDescent="1">
      <c r="C743" s="1"/>
      <c r="D743" s="2"/>
      <c r="E743" s="3"/>
      <c r="F743" s="4"/>
      <c r="G743" s="4"/>
    </row>
    <row r="744" spans="3:7" ht="17.25" customHeight="1" x14ac:dyDescent="1">
      <c r="C744" s="1"/>
      <c r="D744" s="2"/>
      <c r="E744" s="3"/>
      <c r="F744" s="4"/>
      <c r="G744" s="4"/>
    </row>
    <row r="745" spans="3:7" ht="17.25" customHeight="1" x14ac:dyDescent="1">
      <c r="C745" s="1"/>
      <c r="D745" s="2"/>
      <c r="E745" s="3"/>
      <c r="F745" s="4"/>
      <c r="G745" s="4"/>
    </row>
    <row r="746" spans="3:7" ht="17.25" customHeight="1" x14ac:dyDescent="1">
      <c r="C746" s="1"/>
      <c r="D746" s="2"/>
      <c r="E746" s="3"/>
      <c r="F746" s="4"/>
      <c r="G746" s="4"/>
    </row>
    <row r="747" spans="3:7" ht="17.25" customHeight="1" x14ac:dyDescent="1">
      <c r="C747" s="1"/>
      <c r="D747" s="2"/>
      <c r="E747" s="3"/>
      <c r="F747" s="4"/>
      <c r="G747" s="4"/>
    </row>
    <row r="748" spans="3:7" ht="17.25" customHeight="1" x14ac:dyDescent="1">
      <c r="C748" s="1"/>
      <c r="D748" s="2"/>
      <c r="E748" s="3"/>
      <c r="F748" s="4"/>
      <c r="G748" s="4"/>
    </row>
    <row r="749" spans="3:7" ht="17.25" customHeight="1" x14ac:dyDescent="1">
      <c r="C749" s="1"/>
      <c r="D749" s="2"/>
      <c r="E749" s="3"/>
      <c r="F749" s="4"/>
      <c r="G749" s="4"/>
    </row>
    <row r="750" spans="3:7" ht="17.25" customHeight="1" x14ac:dyDescent="1">
      <c r="C750" s="1"/>
      <c r="D750" s="2"/>
      <c r="E750" s="3"/>
      <c r="F750" s="4"/>
      <c r="G750" s="4"/>
    </row>
    <row r="751" spans="3:7" ht="17.25" customHeight="1" x14ac:dyDescent="1">
      <c r="C751" s="1"/>
      <c r="D751" s="2"/>
      <c r="E751" s="3"/>
      <c r="F751" s="4"/>
      <c r="G751" s="4"/>
    </row>
    <row r="752" spans="3:7" ht="17.25" customHeight="1" x14ac:dyDescent="1">
      <c r="C752" s="1"/>
      <c r="D752" s="2"/>
      <c r="E752" s="3"/>
      <c r="F752" s="4"/>
      <c r="G752" s="4"/>
    </row>
    <row r="753" spans="3:7" ht="17.25" customHeight="1" x14ac:dyDescent="1">
      <c r="C753" s="1"/>
      <c r="D753" s="2"/>
      <c r="E753" s="3"/>
      <c r="F753" s="4"/>
      <c r="G753" s="4"/>
    </row>
    <row r="754" spans="3:7" ht="17.25" customHeight="1" x14ac:dyDescent="1">
      <c r="C754" s="1"/>
      <c r="D754" s="2"/>
      <c r="E754" s="3"/>
      <c r="F754" s="4"/>
      <c r="G754" s="4"/>
    </row>
    <row r="755" spans="3:7" ht="17.25" customHeight="1" x14ac:dyDescent="1">
      <c r="C755" s="1"/>
      <c r="D755" s="2"/>
      <c r="E755" s="3"/>
      <c r="F755" s="4"/>
      <c r="G755" s="4"/>
    </row>
    <row r="756" spans="3:7" ht="17.25" customHeight="1" x14ac:dyDescent="1">
      <c r="C756" s="1"/>
      <c r="D756" s="2"/>
      <c r="E756" s="3"/>
      <c r="F756" s="4"/>
      <c r="G756" s="4"/>
    </row>
    <row r="757" spans="3:7" ht="17.25" customHeight="1" x14ac:dyDescent="1">
      <c r="C757" s="1"/>
      <c r="D757" s="2"/>
      <c r="E757" s="3"/>
      <c r="F757" s="4"/>
      <c r="G757" s="4"/>
    </row>
    <row r="758" spans="3:7" ht="17.25" customHeight="1" x14ac:dyDescent="1">
      <c r="C758" s="1"/>
      <c r="D758" s="2"/>
      <c r="E758" s="3"/>
      <c r="F758" s="4"/>
      <c r="G758" s="4"/>
    </row>
    <row r="759" spans="3:7" ht="17.25" customHeight="1" x14ac:dyDescent="1">
      <c r="C759" s="1"/>
      <c r="D759" s="2"/>
      <c r="E759" s="3"/>
      <c r="F759" s="4"/>
      <c r="G759" s="4"/>
    </row>
    <row r="760" spans="3:7" ht="17.25" customHeight="1" x14ac:dyDescent="1">
      <c r="C760" s="1"/>
      <c r="D760" s="2"/>
      <c r="E760" s="3"/>
      <c r="F760" s="4"/>
      <c r="G760" s="4"/>
    </row>
    <row r="761" spans="3:7" ht="17.25" customHeight="1" x14ac:dyDescent="1">
      <c r="C761" s="1"/>
      <c r="D761" s="2"/>
      <c r="E761" s="3"/>
      <c r="F761" s="4"/>
      <c r="G761" s="4"/>
    </row>
    <row r="762" spans="3:7" ht="17.25" customHeight="1" x14ac:dyDescent="1">
      <c r="C762" s="1"/>
      <c r="D762" s="2"/>
      <c r="E762" s="3"/>
      <c r="F762" s="4"/>
      <c r="G762" s="4"/>
    </row>
    <row r="763" spans="3:7" ht="17.25" customHeight="1" x14ac:dyDescent="1">
      <c r="C763" s="1"/>
      <c r="D763" s="2"/>
      <c r="E763" s="3"/>
      <c r="F763" s="4"/>
      <c r="G763" s="4"/>
    </row>
    <row r="764" spans="3:7" ht="17.25" customHeight="1" x14ac:dyDescent="1">
      <c r="C764" s="1"/>
      <c r="D764" s="2"/>
      <c r="E764" s="3"/>
      <c r="F764" s="4"/>
      <c r="G764" s="4"/>
    </row>
    <row r="765" spans="3:7" ht="17.25" customHeight="1" x14ac:dyDescent="1">
      <c r="C765" s="1"/>
      <c r="D765" s="2"/>
      <c r="E765" s="3"/>
      <c r="F765" s="4"/>
      <c r="G765" s="4"/>
    </row>
    <row r="766" spans="3:7" ht="17.25" customHeight="1" x14ac:dyDescent="1">
      <c r="C766" s="1"/>
      <c r="D766" s="2"/>
      <c r="E766" s="3"/>
      <c r="F766" s="4"/>
      <c r="G766" s="4"/>
    </row>
    <row r="767" spans="3:7" ht="17.25" customHeight="1" x14ac:dyDescent="1">
      <c r="C767" s="1"/>
      <c r="D767" s="2"/>
      <c r="E767" s="3"/>
      <c r="F767" s="4"/>
      <c r="G767" s="4"/>
    </row>
    <row r="768" spans="3:7" ht="17.25" customHeight="1" x14ac:dyDescent="1">
      <c r="C768" s="1"/>
      <c r="D768" s="2"/>
      <c r="E768" s="3"/>
      <c r="F768" s="4"/>
      <c r="G768" s="4"/>
    </row>
    <row r="769" spans="3:7" ht="17.25" customHeight="1" x14ac:dyDescent="1">
      <c r="C769" s="1"/>
      <c r="D769" s="2"/>
      <c r="E769" s="3"/>
      <c r="F769" s="4"/>
      <c r="G769" s="4"/>
    </row>
    <row r="770" spans="3:7" ht="17.25" customHeight="1" x14ac:dyDescent="1">
      <c r="C770" s="1"/>
      <c r="D770" s="2"/>
      <c r="E770" s="3"/>
      <c r="F770" s="4"/>
      <c r="G770" s="4"/>
    </row>
    <row r="771" spans="3:7" ht="17.25" customHeight="1" x14ac:dyDescent="1">
      <c r="C771" s="1"/>
      <c r="D771" s="2"/>
      <c r="E771" s="3"/>
      <c r="F771" s="4"/>
      <c r="G771" s="4"/>
    </row>
    <row r="772" spans="3:7" ht="17.25" customHeight="1" x14ac:dyDescent="1">
      <c r="C772" s="1"/>
      <c r="D772" s="2"/>
      <c r="E772" s="3"/>
      <c r="F772" s="4"/>
      <c r="G772" s="4"/>
    </row>
    <row r="773" spans="3:7" ht="17.25" customHeight="1" x14ac:dyDescent="1">
      <c r="C773" s="1"/>
      <c r="D773" s="2"/>
      <c r="E773" s="3"/>
      <c r="F773" s="4"/>
      <c r="G773" s="4"/>
    </row>
    <row r="774" spans="3:7" ht="17.25" customHeight="1" x14ac:dyDescent="1">
      <c r="C774" s="1"/>
      <c r="D774" s="2"/>
      <c r="E774" s="3"/>
      <c r="F774" s="4"/>
      <c r="G774" s="4"/>
    </row>
    <row r="775" spans="3:7" ht="17.25" customHeight="1" x14ac:dyDescent="1">
      <c r="C775" s="1"/>
      <c r="D775" s="2"/>
      <c r="E775" s="3"/>
      <c r="F775" s="4"/>
      <c r="G775" s="4"/>
    </row>
    <row r="776" spans="3:7" ht="17.25" customHeight="1" x14ac:dyDescent="1">
      <c r="C776" s="1"/>
      <c r="D776" s="2"/>
      <c r="E776" s="3"/>
      <c r="F776" s="4"/>
      <c r="G776" s="4"/>
    </row>
    <row r="777" spans="3:7" ht="17.25" customHeight="1" x14ac:dyDescent="1">
      <c r="C777" s="1"/>
      <c r="D777" s="2"/>
      <c r="E777" s="3"/>
      <c r="F777" s="4"/>
      <c r="G777" s="4"/>
    </row>
    <row r="778" spans="3:7" ht="17.25" customHeight="1" x14ac:dyDescent="1">
      <c r="C778" s="1"/>
      <c r="D778" s="2"/>
      <c r="E778" s="3"/>
      <c r="F778" s="4"/>
      <c r="G778" s="4"/>
    </row>
    <row r="779" spans="3:7" ht="17.25" customHeight="1" x14ac:dyDescent="1">
      <c r="C779" s="1"/>
      <c r="D779" s="2"/>
      <c r="E779" s="3"/>
      <c r="F779" s="4"/>
      <c r="G779" s="4"/>
    </row>
    <row r="780" spans="3:7" ht="17.25" customHeight="1" x14ac:dyDescent="1">
      <c r="C780" s="1"/>
      <c r="D780" s="2"/>
      <c r="E780" s="3"/>
      <c r="F780" s="4"/>
      <c r="G780" s="4"/>
    </row>
    <row r="781" spans="3:7" ht="17.25" customHeight="1" x14ac:dyDescent="1">
      <c r="C781" s="1"/>
      <c r="D781" s="2"/>
      <c r="E781" s="3"/>
      <c r="F781" s="4"/>
      <c r="G781" s="4"/>
    </row>
    <row r="782" spans="3:7" ht="17.25" customHeight="1" x14ac:dyDescent="1">
      <c r="C782" s="1"/>
      <c r="D782" s="2"/>
      <c r="E782" s="3"/>
      <c r="F782" s="4"/>
      <c r="G782" s="4"/>
    </row>
    <row r="783" spans="3:7" ht="17.25" customHeight="1" x14ac:dyDescent="1">
      <c r="C783" s="1"/>
      <c r="D783" s="2"/>
      <c r="E783" s="3"/>
      <c r="F783" s="4"/>
      <c r="G783" s="4"/>
    </row>
    <row r="784" spans="3:7" ht="17.25" customHeight="1" x14ac:dyDescent="1">
      <c r="C784" s="1"/>
      <c r="D784" s="2"/>
      <c r="E784" s="3"/>
      <c r="F784" s="4"/>
      <c r="G784" s="4"/>
    </row>
    <row r="785" spans="3:7" ht="17.25" customHeight="1" x14ac:dyDescent="1">
      <c r="C785" s="1"/>
      <c r="D785" s="2"/>
      <c r="E785" s="3"/>
      <c r="F785" s="4"/>
      <c r="G785" s="4"/>
    </row>
    <row r="786" spans="3:7" ht="17.25" customHeight="1" x14ac:dyDescent="1">
      <c r="C786" s="1"/>
      <c r="D786" s="2"/>
      <c r="E786" s="3"/>
      <c r="F786" s="4"/>
      <c r="G786" s="4"/>
    </row>
    <row r="787" spans="3:7" ht="17.25" customHeight="1" x14ac:dyDescent="1">
      <c r="C787" s="1"/>
      <c r="D787" s="2"/>
      <c r="E787" s="3"/>
      <c r="F787" s="4"/>
      <c r="G787" s="4"/>
    </row>
    <row r="788" spans="3:7" ht="17.25" customHeight="1" x14ac:dyDescent="1">
      <c r="C788" s="1"/>
      <c r="D788" s="2"/>
      <c r="E788" s="3"/>
      <c r="F788" s="4"/>
      <c r="G788" s="4"/>
    </row>
    <row r="789" spans="3:7" ht="17.25" customHeight="1" x14ac:dyDescent="1">
      <c r="C789" s="1"/>
      <c r="D789" s="2"/>
      <c r="E789" s="3"/>
      <c r="F789" s="4"/>
      <c r="G789" s="4"/>
    </row>
    <row r="790" spans="3:7" ht="17.25" customHeight="1" x14ac:dyDescent="1">
      <c r="C790" s="1"/>
      <c r="D790" s="2"/>
      <c r="E790" s="3"/>
      <c r="F790" s="4"/>
      <c r="G790" s="4"/>
    </row>
    <row r="791" spans="3:7" ht="17.25" customHeight="1" x14ac:dyDescent="1">
      <c r="C791" s="1"/>
      <c r="D791" s="2"/>
      <c r="E791" s="3"/>
      <c r="F791" s="4"/>
      <c r="G791" s="4"/>
    </row>
    <row r="792" spans="3:7" ht="17.25" customHeight="1" x14ac:dyDescent="1">
      <c r="C792" s="1"/>
      <c r="D792" s="2"/>
      <c r="E792" s="3"/>
      <c r="F792" s="4"/>
      <c r="G792" s="4"/>
    </row>
    <row r="793" spans="3:7" ht="17.25" customHeight="1" x14ac:dyDescent="1">
      <c r="C793" s="1"/>
      <c r="D793" s="2"/>
      <c r="E793" s="3"/>
      <c r="F793" s="4"/>
      <c r="G793" s="4"/>
    </row>
    <row r="794" spans="3:7" ht="17.25" customHeight="1" x14ac:dyDescent="1">
      <c r="C794" s="1"/>
      <c r="D794" s="2"/>
      <c r="E794" s="3"/>
      <c r="F794" s="4"/>
      <c r="G794" s="4"/>
    </row>
    <row r="795" spans="3:7" ht="17.25" customHeight="1" x14ac:dyDescent="1">
      <c r="C795" s="1"/>
      <c r="D795" s="2"/>
      <c r="E795" s="3"/>
      <c r="F795" s="4"/>
      <c r="G795" s="4"/>
    </row>
    <row r="796" spans="3:7" ht="17.25" customHeight="1" x14ac:dyDescent="1">
      <c r="C796" s="1"/>
      <c r="D796" s="2"/>
      <c r="E796" s="3"/>
      <c r="F796" s="4"/>
      <c r="G796" s="4"/>
    </row>
    <row r="797" spans="3:7" ht="17.25" customHeight="1" x14ac:dyDescent="1">
      <c r="C797" s="1"/>
      <c r="D797" s="2"/>
      <c r="E797" s="3"/>
      <c r="F797" s="4"/>
      <c r="G797" s="4"/>
    </row>
    <row r="798" spans="3:7" ht="17.25" customHeight="1" x14ac:dyDescent="1">
      <c r="C798" s="1"/>
      <c r="D798" s="2"/>
      <c r="E798" s="3"/>
      <c r="F798" s="4"/>
      <c r="G798" s="4"/>
    </row>
    <row r="799" spans="3:7" ht="17.25" customHeight="1" x14ac:dyDescent="1">
      <c r="C799" s="1"/>
      <c r="D799" s="2"/>
      <c r="E799" s="3"/>
      <c r="F799" s="4"/>
      <c r="G799" s="4"/>
    </row>
    <row r="800" spans="3:7" ht="17.25" customHeight="1" x14ac:dyDescent="1">
      <c r="C800" s="1"/>
      <c r="D800" s="2"/>
      <c r="E800" s="3"/>
      <c r="F800" s="4"/>
      <c r="G800" s="4"/>
    </row>
    <row r="801" spans="3:7" ht="17.25" customHeight="1" x14ac:dyDescent="1">
      <c r="C801" s="1"/>
      <c r="D801" s="2"/>
      <c r="E801" s="3"/>
      <c r="F801" s="4"/>
      <c r="G801" s="4"/>
    </row>
    <row r="802" spans="3:7" ht="17.25" customHeight="1" x14ac:dyDescent="1">
      <c r="C802" s="1"/>
      <c r="D802" s="2"/>
      <c r="E802" s="3"/>
      <c r="F802" s="4"/>
      <c r="G802" s="4"/>
    </row>
    <row r="803" spans="3:7" ht="17.25" customHeight="1" x14ac:dyDescent="1">
      <c r="C803" s="1"/>
      <c r="D803" s="2"/>
      <c r="E803" s="3"/>
      <c r="F803" s="4"/>
      <c r="G803" s="4"/>
    </row>
    <row r="804" spans="3:7" ht="17.25" customHeight="1" x14ac:dyDescent="1">
      <c r="C804" s="1"/>
      <c r="D804" s="2"/>
      <c r="E804" s="3"/>
      <c r="F804" s="4"/>
      <c r="G804" s="4"/>
    </row>
    <row r="805" spans="3:7" ht="17.25" customHeight="1" x14ac:dyDescent="1">
      <c r="C805" s="1"/>
      <c r="D805" s="2"/>
      <c r="E805" s="3"/>
      <c r="F805" s="4"/>
      <c r="G805" s="4"/>
    </row>
    <row r="806" spans="3:7" ht="17.25" customHeight="1" x14ac:dyDescent="1">
      <c r="C806" s="1"/>
      <c r="D806" s="2"/>
      <c r="E806" s="3"/>
      <c r="F806" s="4"/>
      <c r="G806" s="4"/>
    </row>
    <row r="807" spans="3:7" ht="17.25" customHeight="1" x14ac:dyDescent="1">
      <c r="C807" s="1"/>
      <c r="D807" s="2"/>
      <c r="E807" s="3"/>
      <c r="F807" s="4"/>
      <c r="G807" s="4"/>
    </row>
    <row r="808" spans="3:7" ht="17.25" customHeight="1" x14ac:dyDescent="1">
      <c r="C808" s="1"/>
      <c r="D808" s="2"/>
      <c r="E808" s="3"/>
      <c r="F808" s="4"/>
      <c r="G808" s="4"/>
    </row>
    <row r="809" spans="3:7" ht="17.25" customHeight="1" x14ac:dyDescent="1">
      <c r="C809" s="1"/>
      <c r="D809" s="2"/>
      <c r="E809" s="3"/>
      <c r="F809" s="4"/>
      <c r="G809" s="4"/>
    </row>
    <row r="810" spans="3:7" ht="17.25" customHeight="1" x14ac:dyDescent="1">
      <c r="C810" s="1"/>
      <c r="D810" s="2"/>
      <c r="E810" s="3"/>
      <c r="F810" s="4"/>
      <c r="G810" s="4"/>
    </row>
    <row r="811" spans="3:7" ht="17.25" customHeight="1" x14ac:dyDescent="1">
      <c r="C811" s="1"/>
      <c r="D811" s="2"/>
      <c r="E811" s="3"/>
      <c r="F811" s="4"/>
      <c r="G811" s="4"/>
    </row>
    <row r="812" spans="3:7" ht="17.25" customHeight="1" x14ac:dyDescent="1">
      <c r="C812" s="1"/>
      <c r="D812" s="2"/>
      <c r="E812" s="3"/>
      <c r="F812" s="4"/>
      <c r="G812" s="4"/>
    </row>
    <row r="813" spans="3:7" ht="17.25" customHeight="1" x14ac:dyDescent="1">
      <c r="C813" s="1"/>
      <c r="D813" s="2"/>
      <c r="E813" s="3"/>
      <c r="F813" s="4"/>
      <c r="G813" s="4"/>
    </row>
    <row r="814" spans="3:7" ht="17.25" customHeight="1" x14ac:dyDescent="1">
      <c r="C814" s="1"/>
      <c r="D814" s="2"/>
      <c r="E814" s="3"/>
      <c r="F814" s="4"/>
      <c r="G814" s="4"/>
    </row>
    <row r="815" spans="3:7" ht="17.25" customHeight="1" x14ac:dyDescent="1">
      <c r="C815" s="1"/>
      <c r="D815" s="2"/>
      <c r="E815" s="3"/>
      <c r="F815" s="4"/>
      <c r="G815" s="4"/>
    </row>
    <row r="816" spans="3:7" ht="17.25" customHeight="1" x14ac:dyDescent="1">
      <c r="C816" s="1"/>
      <c r="D816" s="2"/>
      <c r="E816" s="3"/>
      <c r="F816" s="4"/>
      <c r="G816" s="4"/>
    </row>
    <row r="817" spans="3:7" ht="17.25" customHeight="1" x14ac:dyDescent="1">
      <c r="C817" s="1"/>
      <c r="D817" s="2"/>
      <c r="E817" s="3"/>
      <c r="F817" s="4"/>
      <c r="G817" s="4"/>
    </row>
    <row r="818" spans="3:7" ht="17.25" customHeight="1" x14ac:dyDescent="1">
      <c r="C818" s="1"/>
      <c r="D818" s="2"/>
      <c r="E818" s="3"/>
      <c r="F818" s="4"/>
      <c r="G818" s="4"/>
    </row>
    <row r="819" spans="3:7" ht="17.25" customHeight="1" x14ac:dyDescent="1">
      <c r="C819" s="1"/>
      <c r="D819" s="2"/>
      <c r="E819" s="3"/>
      <c r="F819" s="4"/>
      <c r="G819" s="4"/>
    </row>
    <row r="820" spans="3:7" ht="17.25" customHeight="1" x14ac:dyDescent="1">
      <c r="C820" s="1"/>
      <c r="D820" s="2"/>
      <c r="E820" s="3"/>
      <c r="F820" s="4"/>
      <c r="G820" s="4"/>
    </row>
    <row r="821" spans="3:7" ht="17.25" customHeight="1" x14ac:dyDescent="1">
      <c r="C821" s="1"/>
      <c r="D821" s="2"/>
      <c r="E821" s="3"/>
      <c r="F821" s="4"/>
      <c r="G821" s="4"/>
    </row>
    <row r="822" spans="3:7" ht="17.25" customHeight="1" x14ac:dyDescent="1">
      <c r="C822" s="1"/>
      <c r="D822" s="2"/>
      <c r="E822" s="3"/>
      <c r="F822" s="4"/>
      <c r="G822" s="4"/>
    </row>
    <row r="823" spans="3:7" ht="17.25" customHeight="1" x14ac:dyDescent="1">
      <c r="C823" s="1"/>
      <c r="D823" s="2"/>
      <c r="E823" s="3"/>
      <c r="F823" s="4"/>
      <c r="G823" s="4"/>
    </row>
    <row r="824" spans="3:7" ht="17.25" customHeight="1" x14ac:dyDescent="1">
      <c r="C824" s="1"/>
      <c r="D824" s="2"/>
      <c r="E824" s="3"/>
      <c r="F824" s="4"/>
      <c r="G824" s="4"/>
    </row>
    <row r="825" spans="3:7" ht="17.25" customHeight="1" x14ac:dyDescent="1">
      <c r="C825" s="1"/>
      <c r="D825" s="2"/>
      <c r="E825" s="3"/>
      <c r="F825" s="4"/>
      <c r="G825" s="4"/>
    </row>
    <row r="826" spans="3:7" ht="17.25" customHeight="1" x14ac:dyDescent="1">
      <c r="C826" s="1"/>
      <c r="D826" s="2"/>
      <c r="E826" s="3"/>
      <c r="F826" s="4"/>
      <c r="G826" s="4"/>
    </row>
    <row r="827" spans="3:7" ht="17.25" customHeight="1" x14ac:dyDescent="1">
      <c r="C827" s="1"/>
      <c r="D827" s="2"/>
      <c r="E827" s="3"/>
      <c r="F827" s="4"/>
      <c r="G827" s="4"/>
    </row>
    <row r="828" spans="3:7" ht="17.25" customHeight="1" x14ac:dyDescent="1">
      <c r="C828" s="1"/>
      <c r="D828" s="2"/>
      <c r="E828" s="3"/>
      <c r="F828" s="4"/>
      <c r="G828" s="4"/>
    </row>
    <row r="829" spans="3:7" ht="17.25" customHeight="1" x14ac:dyDescent="1">
      <c r="C829" s="1"/>
      <c r="D829" s="2"/>
      <c r="E829" s="3"/>
      <c r="F829" s="4"/>
      <c r="G829" s="4"/>
    </row>
    <row r="830" spans="3:7" ht="17.25" customHeight="1" x14ac:dyDescent="1">
      <c r="C830" s="1"/>
      <c r="D830" s="2"/>
      <c r="E830" s="3"/>
      <c r="F830" s="4"/>
      <c r="G830" s="4"/>
    </row>
    <row r="831" spans="3:7" ht="17.25" customHeight="1" x14ac:dyDescent="1">
      <c r="C831" s="1"/>
      <c r="D831" s="2"/>
      <c r="E831" s="3"/>
      <c r="F831" s="4"/>
      <c r="G831" s="4"/>
    </row>
    <row r="832" spans="3:7" ht="17.25" customHeight="1" x14ac:dyDescent="1">
      <c r="C832" s="1"/>
      <c r="D832" s="2"/>
      <c r="E832" s="3"/>
      <c r="F832" s="4"/>
      <c r="G832" s="4"/>
    </row>
    <row r="833" spans="3:7" ht="17.25" customHeight="1" x14ac:dyDescent="1">
      <c r="C833" s="1"/>
      <c r="D833" s="2"/>
      <c r="E833" s="3"/>
      <c r="F833" s="4"/>
      <c r="G833" s="4"/>
    </row>
    <row r="834" spans="3:7" ht="17.25" customHeight="1" x14ac:dyDescent="1">
      <c r="C834" s="1"/>
      <c r="D834" s="2"/>
      <c r="E834" s="3"/>
      <c r="F834" s="4"/>
      <c r="G834" s="4"/>
    </row>
    <row r="835" spans="3:7" ht="17.25" customHeight="1" x14ac:dyDescent="1">
      <c r="C835" s="1"/>
      <c r="D835" s="2"/>
      <c r="E835" s="3"/>
      <c r="F835" s="4"/>
      <c r="G835" s="4"/>
    </row>
    <row r="836" spans="3:7" ht="17.25" customHeight="1" x14ac:dyDescent="1">
      <c r="C836" s="1"/>
      <c r="D836" s="2"/>
      <c r="E836" s="3"/>
      <c r="F836" s="4"/>
      <c r="G836" s="4"/>
    </row>
    <row r="837" spans="3:7" ht="17.25" customHeight="1" x14ac:dyDescent="1">
      <c r="C837" s="1"/>
      <c r="D837" s="2"/>
      <c r="E837" s="3"/>
      <c r="F837" s="4"/>
      <c r="G837" s="4"/>
    </row>
    <row r="838" spans="3:7" ht="17.25" customHeight="1" x14ac:dyDescent="1">
      <c r="C838" s="1"/>
      <c r="D838" s="2"/>
      <c r="E838" s="3"/>
      <c r="F838" s="4"/>
      <c r="G838" s="4"/>
    </row>
    <row r="839" spans="3:7" ht="17.25" customHeight="1" x14ac:dyDescent="1">
      <c r="C839" s="1"/>
      <c r="D839" s="2"/>
      <c r="E839" s="3"/>
      <c r="F839" s="4"/>
      <c r="G839" s="4"/>
    </row>
    <row r="840" spans="3:7" ht="17.25" customHeight="1" x14ac:dyDescent="1">
      <c r="C840" s="1"/>
      <c r="D840" s="2"/>
      <c r="E840" s="3"/>
      <c r="F840" s="4"/>
      <c r="G840" s="4"/>
    </row>
    <row r="841" spans="3:7" ht="17.25" customHeight="1" x14ac:dyDescent="1">
      <c r="C841" s="1"/>
      <c r="D841" s="2"/>
      <c r="E841" s="3"/>
      <c r="F841" s="4"/>
      <c r="G841" s="4"/>
    </row>
    <row r="842" spans="3:7" ht="17.25" customHeight="1" x14ac:dyDescent="1">
      <c r="C842" s="1"/>
      <c r="D842" s="2"/>
      <c r="E842" s="3"/>
      <c r="F842" s="4"/>
      <c r="G842" s="4"/>
    </row>
    <row r="843" spans="3:7" ht="17.25" customHeight="1" x14ac:dyDescent="1">
      <c r="C843" s="1"/>
      <c r="D843" s="2"/>
      <c r="E843" s="3"/>
      <c r="F843" s="4"/>
      <c r="G843" s="4"/>
    </row>
    <row r="844" spans="3:7" ht="17.25" customHeight="1" x14ac:dyDescent="1">
      <c r="C844" s="1"/>
      <c r="D844" s="2"/>
      <c r="E844" s="3"/>
      <c r="F844" s="4"/>
      <c r="G844" s="4"/>
    </row>
    <row r="845" spans="3:7" ht="17.25" customHeight="1" x14ac:dyDescent="1">
      <c r="C845" s="1"/>
      <c r="D845" s="2"/>
      <c r="E845" s="3"/>
      <c r="F845" s="4"/>
      <c r="G845" s="4"/>
    </row>
    <row r="846" spans="3:7" ht="17.25" customHeight="1" x14ac:dyDescent="1">
      <c r="C846" s="1"/>
      <c r="D846" s="2"/>
      <c r="E846" s="3"/>
      <c r="F846" s="4"/>
      <c r="G846" s="4"/>
    </row>
    <row r="847" spans="3:7" ht="17.25" customHeight="1" x14ac:dyDescent="1">
      <c r="C847" s="1"/>
      <c r="D847" s="2"/>
      <c r="E847" s="3"/>
      <c r="F847" s="4"/>
      <c r="G847" s="4"/>
    </row>
    <row r="848" spans="3:7" ht="17.25" customHeight="1" x14ac:dyDescent="1">
      <c r="C848" s="1"/>
      <c r="D848" s="2"/>
      <c r="E848" s="3"/>
      <c r="F848" s="4"/>
      <c r="G848" s="4"/>
    </row>
    <row r="849" spans="3:7" ht="17.25" customHeight="1" x14ac:dyDescent="1">
      <c r="C849" s="1"/>
      <c r="D849" s="2"/>
      <c r="E849" s="3"/>
      <c r="F849" s="4"/>
      <c r="G849" s="4"/>
    </row>
    <row r="850" spans="3:7" ht="17.25" customHeight="1" x14ac:dyDescent="1">
      <c r="C850" s="1"/>
      <c r="D850" s="2"/>
      <c r="E850" s="3"/>
      <c r="F850" s="4"/>
      <c r="G850" s="4"/>
    </row>
    <row r="851" spans="3:7" ht="17.25" customHeight="1" x14ac:dyDescent="1">
      <c r="C851" s="1"/>
      <c r="D851" s="2"/>
      <c r="E851" s="3"/>
      <c r="F851" s="4"/>
      <c r="G851" s="4"/>
    </row>
    <row r="852" spans="3:7" ht="17.25" customHeight="1" x14ac:dyDescent="1">
      <c r="C852" s="1"/>
      <c r="D852" s="2"/>
      <c r="E852" s="3"/>
      <c r="F852" s="4"/>
      <c r="G852" s="4"/>
    </row>
    <row r="853" spans="3:7" ht="17.25" customHeight="1" x14ac:dyDescent="1">
      <c r="C853" s="1"/>
      <c r="D853" s="2"/>
      <c r="E853" s="3"/>
      <c r="F853" s="4"/>
      <c r="G853" s="4"/>
    </row>
    <row r="854" spans="3:7" ht="17.25" customHeight="1" x14ac:dyDescent="1">
      <c r="C854" s="1"/>
      <c r="D854" s="2"/>
      <c r="E854" s="3"/>
      <c r="F854" s="4"/>
      <c r="G854" s="4"/>
    </row>
    <row r="855" spans="3:7" ht="17.25" customHeight="1" x14ac:dyDescent="1">
      <c r="C855" s="1"/>
      <c r="D855" s="2"/>
      <c r="E855" s="3"/>
      <c r="F855" s="4"/>
      <c r="G855" s="4"/>
    </row>
    <row r="856" spans="3:7" ht="17.25" customHeight="1" x14ac:dyDescent="1">
      <c r="C856" s="1"/>
      <c r="D856" s="2"/>
      <c r="E856" s="3"/>
      <c r="F856" s="4"/>
      <c r="G856" s="4"/>
    </row>
    <row r="857" spans="3:7" ht="17.25" customHeight="1" x14ac:dyDescent="1">
      <c r="C857" s="1"/>
      <c r="D857" s="2"/>
      <c r="E857" s="3"/>
      <c r="F857" s="4"/>
      <c r="G857" s="4"/>
    </row>
    <row r="858" spans="3:7" ht="17.25" customHeight="1" x14ac:dyDescent="1">
      <c r="C858" s="1"/>
      <c r="D858" s="2"/>
      <c r="E858" s="3"/>
      <c r="F858" s="4"/>
      <c r="G858" s="4"/>
    </row>
    <row r="859" spans="3:7" ht="17.25" customHeight="1" x14ac:dyDescent="1">
      <c r="C859" s="1"/>
      <c r="D859" s="2"/>
      <c r="E859" s="3"/>
      <c r="F859" s="4"/>
      <c r="G859" s="4"/>
    </row>
    <row r="860" spans="3:7" ht="17.25" customHeight="1" x14ac:dyDescent="1">
      <c r="C860" s="1"/>
      <c r="D860" s="2"/>
      <c r="E860" s="3"/>
      <c r="F860" s="4"/>
      <c r="G860" s="4"/>
    </row>
    <row r="861" spans="3:7" ht="17.25" customHeight="1" x14ac:dyDescent="1">
      <c r="C861" s="1"/>
      <c r="D861" s="2"/>
      <c r="E861" s="3"/>
      <c r="F861" s="4"/>
      <c r="G861" s="4"/>
    </row>
    <row r="862" spans="3:7" ht="17.25" customHeight="1" x14ac:dyDescent="1">
      <c r="C862" s="1"/>
      <c r="D862" s="2"/>
      <c r="E862" s="3"/>
      <c r="F862" s="4"/>
      <c r="G862" s="4"/>
    </row>
    <row r="863" spans="3:7" ht="17.25" customHeight="1" x14ac:dyDescent="1">
      <c r="C863" s="1"/>
      <c r="D863" s="2"/>
      <c r="E863" s="3"/>
      <c r="F863" s="4"/>
      <c r="G863" s="4"/>
    </row>
    <row r="864" spans="3:7" ht="17.25" customHeight="1" x14ac:dyDescent="1">
      <c r="C864" s="1"/>
      <c r="D864" s="2"/>
      <c r="E864" s="3"/>
      <c r="F864" s="4"/>
      <c r="G864" s="4"/>
    </row>
    <row r="865" spans="3:7" ht="17.25" customHeight="1" x14ac:dyDescent="1">
      <c r="C865" s="1"/>
      <c r="D865" s="2"/>
      <c r="E865" s="3"/>
      <c r="F865" s="4"/>
      <c r="G865" s="4"/>
    </row>
    <row r="866" spans="3:7" ht="17.25" customHeight="1" x14ac:dyDescent="1">
      <c r="C866" s="1"/>
      <c r="D866" s="2"/>
      <c r="E866" s="3"/>
      <c r="F866" s="4"/>
      <c r="G866" s="4"/>
    </row>
    <row r="867" spans="3:7" ht="17.25" customHeight="1" x14ac:dyDescent="1">
      <c r="C867" s="1"/>
      <c r="D867" s="2"/>
      <c r="E867" s="3"/>
      <c r="F867" s="4"/>
      <c r="G867" s="4"/>
    </row>
    <row r="868" spans="3:7" ht="17.25" customHeight="1" x14ac:dyDescent="1">
      <c r="C868" s="1"/>
      <c r="D868" s="2"/>
      <c r="E868" s="3"/>
      <c r="F868" s="4"/>
      <c r="G868" s="4"/>
    </row>
    <row r="869" spans="3:7" ht="17.25" customHeight="1" x14ac:dyDescent="1">
      <c r="C869" s="1"/>
      <c r="D869" s="2"/>
      <c r="E869" s="3"/>
      <c r="F869" s="4"/>
      <c r="G869" s="4"/>
    </row>
    <row r="870" spans="3:7" ht="17.25" customHeight="1" x14ac:dyDescent="1">
      <c r="C870" s="1"/>
      <c r="D870" s="2"/>
      <c r="E870" s="3"/>
      <c r="F870" s="4"/>
      <c r="G870" s="4"/>
    </row>
    <row r="871" spans="3:7" ht="17.25" customHeight="1" x14ac:dyDescent="1">
      <c r="C871" s="1"/>
      <c r="D871" s="2"/>
      <c r="E871" s="3"/>
      <c r="F871" s="4"/>
      <c r="G871" s="4"/>
    </row>
    <row r="872" spans="3:7" ht="17.25" customHeight="1" x14ac:dyDescent="1">
      <c r="C872" s="1"/>
      <c r="D872" s="2"/>
      <c r="E872" s="3"/>
      <c r="F872" s="4"/>
      <c r="G872" s="4"/>
    </row>
    <row r="873" spans="3:7" ht="17.25" customHeight="1" x14ac:dyDescent="1">
      <c r="C873" s="1"/>
      <c r="D873" s="2"/>
      <c r="E873" s="3"/>
      <c r="F873" s="4"/>
      <c r="G873" s="4"/>
    </row>
    <row r="874" spans="3:7" ht="17.25" customHeight="1" x14ac:dyDescent="1">
      <c r="C874" s="1"/>
      <c r="D874" s="2"/>
      <c r="E874" s="3"/>
      <c r="F874" s="4"/>
      <c r="G874" s="4"/>
    </row>
    <row r="875" spans="3:7" ht="17.25" customHeight="1" x14ac:dyDescent="1">
      <c r="C875" s="1"/>
      <c r="D875" s="2"/>
      <c r="E875" s="3"/>
      <c r="F875" s="4"/>
      <c r="G875" s="4"/>
    </row>
    <row r="876" spans="3:7" ht="17.25" customHeight="1" x14ac:dyDescent="1">
      <c r="C876" s="1"/>
      <c r="D876" s="2"/>
      <c r="E876" s="3"/>
      <c r="F876" s="4"/>
      <c r="G876" s="4"/>
    </row>
    <row r="877" spans="3:7" ht="17.25" customHeight="1" x14ac:dyDescent="1">
      <c r="C877" s="1"/>
      <c r="D877" s="2"/>
      <c r="E877" s="3"/>
      <c r="F877" s="4"/>
      <c r="G877" s="4"/>
    </row>
    <row r="878" spans="3:7" ht="17.25" customHeight="1" x14ac:dyDescent="1">
      <c r="C878" s="1"/>
      <c r="D878" s="2"/>
      <c r="E878" s="3"/>
      <c r="F878" s="4"/>
      <c r="G878" s="4"/>
    </row>
    <row r="879" spans="3:7" ht="17.25" customHeight="1" x14ac:dyDescent="1">
      <c r="C879" s="1"/>
      <c r="D879" s="2"/>
      <c r="E879" s="3"/>
      <c r="F879" s="4"/>
      <c r="G879" s="4"/>
    </row>
    <row r="880" spans="3:7" ht="17.25" customHeight="1" x14ac:dyDescent="1">
      <c r="C880" s="1"/>
      <c r="D880" s="2"/>
      <c r="E880" s="3"/>
      <c r="F880" s="4"/>
      <c r="G880" s="4"/>
    </row>
    <row r="881" spans="3:7" ht="17.25" customHeight="1" x14ac:dyDescent="1">
      <c r="C881" s="1"/>
      <c r="D881" s="2"/>
      <c r="E881" s="3"/>
      <c r="F881" s="4"/>
      <c r="G881" s="4"/>
    </row>
    <row r="882" spans="3:7" ht="17.25" customHeight="1" x14ac:dyDescent="1">
      <c r="C882" s="1"/>
      <c r="D882" s="2"/>
      <c r="E882" s="3"/>
      <c r="F882" s="4"/>
      <c r="G882" s="4"/>
    </row>
    <row r="883" spans="3:7" ht="17.25" customHeight="1" x14ac:dyDescent="1">
      <c r="C883" s="1"/>
      <c r="D883" s="2"/>
      <c r="E883" s="3"/>
      <c r="F883" s="4"/>
      <c r="G883" s="4"/>
    </row>
    <row r="884" spans="3:7" ht="17.25" customHeight="1" x14ac:dyDescent="1">
      <c r="C884" s="1"/>
      <c r="D884" s="2"/>
      <c r="E884" s="3"/>
      <c r="F884" s="4"/>
      <c r="G884" s="4"/>
    </row>
    <row r="885" spans="3:7" ht="17.25" customHeight="1" x14ac:dyDescent="1">
      <c r="C885" s="1"/>
      <c r="D885" s="2"/>
      <c r="E885" s="3"/>
      <c r="F885" s="4"/>
      <c r="G885" s="4"/>
    </row>
    <row r="886" spans="3:7" ht="17.25" customHeight="1" x14ac:dyDescent="1">
      <c r="C886" s="1"/>
      <c r="D886" s="2"/>
      <c r="E886" s="3"/>
      <c r="F886" s="4"/>
      <c r="G886" s="4"/>
    </row>
    <row r="887" spans="3:7" ht="17.25" customHeight="1" x14ac:dyDescent="1">
      <c r="C887" s="1"/>
      <c r="D887" s="2"/>
      <c r="E887" s="3"/>
      <c r="F887" s="4"/>
      <c r="G887" s="4"/>
    </row>
    <row r="888" spans="3:7" ht="17.25" customHeight="1" x14ac:dyDescent="1">
      <c r="C888" s="1"/>
      <c r="D888" s="2"/>
      <c r="E888" s="3"/>
      <c r="F888" s="4"/>
      <c r="G888" s="4"/>
    </row>
    <row r="889" spans="3:7" ht="17.25" customHeight="1" x14ac:dyDescent="1">
      <c r="C889" s="1"/>
      <c r="D889" s="2"/>
      <c r="E889" s="3"/>
      <c r="F889" s="4"/>
      <c r="G889" s="4"/>
    </row>
    <row r="890" spans="3:7" ht="17.25" customHeight="1" x14ac:dyDescent="1">
      <c r="C890" s="1"/>
      <c r="D890" s="2"/>
      <c r="E890" s="3"/>
      <c r="F890" s="4"/>
      <c r="G890" s="4"/>
    </row>
    <row r="891" spans="3:7" ht="17.25" customHeight="1" x14ac:dyDescent="1">
      <c r="C891" s="1"/>
      <c r="D891" s="2"/>
      <c r="E891" s="3"/>
      <c r="F891" s="4"/>
      <c r="G891" s="4"/>
    </row>
    <row r="892" spans="3:7" ht="17.25" customHeight="1" x14ac:dyDescent="1">
      <c r="C892" s="1"/>
      <c r="D892" s="2"/>
      <c r="E892" s="3"/>
      <c r="F892" s="4"/>
      <c r="G892" s="4"/>
    </row>
    <row r="893" spans="3:7" ht="17.25" customHeight="1" x14ac:dyDescent="1">
      <c r="C893" s="1"/>
      <c r="D893" s="2"/>
      <c r="E893" s="3"/>
      <c r="F893" s="4"/>
      <c r="G893" s="4"/>
    </row>
    <row r="894" spans="3:7" ht="17.25" customHeight="1" x14ac:dyDescent="1">
      <c r="C894" s="1"/>
      <c r="D894" s="2"/>
      <c r="E894" s="3"/>
      <c r="F894" s="4"/>
      <c r="G894" s="4"/>
    </row>
    <row r="895" spans="3:7" ht="17.25" customHeight="1" x14ac:dyDescent="1">
      <c r="C895" s="1"/>
      <c r="D895" s="2"/>
      <c r="E895" s="3"/>
      <c r="F895" s="4"/>
      <c r="G895" s="4"/>
    </row>
    <row r="896" spans="3:7" ht="17.25" customHeight="1" x14ac:dyDescent="1">
      <c r="C896" s="1"/>
      <c r="D896" s="2"/>
      <c r="E896" s="3"/>
      <c r="F896" s="4"/>
      <c r="G896" s="4"/>
    </row>
    <row r="897" spans="3:7" ht="17.25" customHeight="1" x14ac:dyDescent="1">
      <c r="C897" s="1"/>
      <c r="D897" s="2"/>
      <c r="E897" s="3"/>
      <c r="F897" s="4"/>
      <c r="G897" s="4"/>
    </row>
    <row r="898" spans="3:7" ht="17.25" customHeight="1" x14ac:dyDescent="1">
      <c r="C898" s="1"/>
      <c r="D898" s="2"/>
      <c r="E898" s="3"/>
      <c r="F898" s="4"/>
      <c r="G898" s="4"/>
    </row>
    <row r="899" spans="3:7" ht="17.25" customHeight="1" x14ac:dyDescent="1">
      <c r="C899" s="1"/>
      <c r="D899" s="2"/>
      <c r="E899" s="3"/>
      <c r="F899" s="4"/>
      <c r="G899" s="4"/>
    </row>
    <row r="900" spans="3:7" ht="17.25" customHeight="1" x14ac:dyDescent="1">
      <c r="C900" s="1"/>
      <c r="D900" s="2"/>
      <c r="E900" s="3"/>
      <c r="F900" s="4"/>
      <c r="G900" s="4"/>
    </row>
    <row r="901" spans="3:7" ht="17.25" customHeight="1" x14ac:dyDescent="1">
      <c r="C901" s="1"/>
      <c r="D901" s="2"/>
      <c r="E901" s="3"/>
      <c r="F901" s="4"/>
      <c r="G901" s="4"/>
    </row>
    <row r="902" spans="3:7" ht="17.25" customHeight="1" x14ac:dyDescent="1">
      <c r="C902" s="1"/>
      <c r="D902" s="2"/>
      <c r="E902" s="3"/>
      <c r="F902" s="4"/>
      <c r="G902" s="4"/>
    </row>
    <row r="903" spans="3:7" ht="17.25" customHeight="1" x14ac:dyDescent="1">
      <c r="C903" s="1"/>
      <c r="D903" s="2"/>
      <c r="E903" s="3"/>
      <c r="F903" s="4"/>
      <c r="G903" s="4"/>
    </row>
    <row r="904" spans="3:7" ht="17.25" customHeight="1" x14ac:dyDescent="1">
      <c r="C904" s="1"/>
      <c r="D904" s="2"/>
      <c r="E904" s="3"/>
      <c r="F904" s="4"/>
      <c r="G904" s="4"/>
    </row>
    <row r="905" spans="3:7" ht="17.25" customHeight="1" x14ac:dyDescent="1">
      <c r="C905" s="1"/>
      <c r="D905" s="2"/>
      <c r="E905" s="3"/>
      <c r="F905" s="4"/>
      <c r="G905" s="4"/>
    </row>
    <row r="906" spans="3:7" ht="17.25" customHeight="1" x14ac:dyDescent="1">
      <c r="C906" s="1"/>
      <c r="D906" s="2"/>
      <c r="E906" s="3"/>
      <c r="F906" s="4"/>
      <c r="G906" s="4"/>
    </row>
    <row r="907" spans="3:7" ht="17.25" customHeight="1" x14ac:dyDescent="1">
      <c r="C907" s="1"/>
      <c r="D907" s="2"/>
      <c r="E907" s="3"/>
      <c r="F907" s="4"/>
      <c r="G907" s="4"/>
    </row>
    <row r="908" spans="3:7" ht="17.25" customHeight="1" x14ac:dyDescent="1">
      <c r="C908" s="1"/>
      <c r="D908" s="2"/>
      <c r="E908" s="3"/>
      <c r="F908" s="4"/>
      <c r="G908" s="4"/>
    </row>
    <row r="909" spans="3:7" ht="17.25" customHeight="1" x14ac:dyDescent="1">
      <c r="C909" s="1"/>
      <c r="D909" s="2"/>
      <c r="E909" s="3"/>
      <c r="F909" s="4"/>
      <c r="G909" s="4"/>
    </row>
    <row r="910" spans="3:7" ht="17.25" customHeight="1" x14ac:dyDescent="1">
      <c r="C910" s="1"/>
      <c r="D910" s="2"/>
      <c r="E910" s="3"/>
      <c r="F910" s="4"/>
      <c r="G910" s="4"/>
    </row>
    <row r="911" spans="3:7" ht="17.25" customHeight="1" x14ac:dyDescent="1">
      <c r="C911" s="1"/>
      <c r="D911" s="2"/>
      <c r="E911" s="3"/>
      <c r="F911" s="4"/>
      <c r="G911" s="4"/>
    </row>
    <row r="912" spans="3:7" ht="17.25" customHeight="1" x14ac:dyDescent="1">
      <c r="C912" s="1"/>
      <c r="D912" s="2"/>
      <c r="E912" s="3"/>
      <c r="F912" s="4"/>
      <c r="G912" s="4"/>
    </row>
    <row r="913" spans="3:7" ht="17.25" customHeight="1" x14ac:dyDescent="1">
      <c r="C913" s="1"/>
      <c r="D913" s="2"/>
      <c r="E913" s="3"/>
      <c r="F913" s="4"/>
      <c r="G913" s="4"/>
    </row>
    <row r="914" spans="3:7" ht="17.25" customHeight="1" x14ac:dyDescent="1">
      <c r="C914" s="1"/>
      <c r="D914" s="2"/>
      <c r="E914" s="3"/>
      <c r="F914" s="4"/>
      <c r="G914" s="4"/>
    </row>
    <row r="915" spans="3:7" ht="17.25" customHeight="1" x14ac:dyDescent="1">
      <c r="C915" s="1"/>
      <c r="D915" s="2"/>
      <c r="E915" s="3"/>
      <c r="F915" s="4"/>
      <c r="G915" s="4"/>
    </row>
    <row r="916" spans="3:7" ht="17.25" customHeight="1" x14ac:dyDescent="1">
      <c r="C916" s="1"/>
      <c r="D916" s="2"/>
      <c r="E916" s="3"/>
      <c r="F916" s="4"/>
      <c r="G916" s="4"/>
    </row>
    <row r="917" spans="3:7" ht="17.25" customHeight="1" x14ac:dyDescent="1">
      <c r="C917" s="1"/>
      <c r="D917" s="2"/>
      <c r="E917" s="3"/>
      <c r="F917" s="4"/>
      <c r="G917" s="4"/>
    </row>
    <row r="918" spans="3:7" ht="17.25" customHeight="1" x14ac:dyDescent="1">
      <c r="C918" s="1"/>
      <c r="D918" s="2"/>
      <c r="E918" s="3"/>
      <c r="F918" s="4"/>
      <c r="G918" s="4"/>
    </row>
    <row r="919" spans="3:7" ht="17.25" customHeight="1" x14ac:dyDescent="1">
      <c r="C919" s="1"/>
      <c r="D919" s="2"/>
      <c r="E919" s="3"/>
      <c r="F919" s="4"/>
      <c r="G919" s="4"/>
    </row>
    <row r="920" spans="3:7" ht="17.25" customHeight="1" x14ac:dyDescent="1">
      <c r="C920" s="1"/>
      <c r="D920" s="2"/>
      <c r="E920" s="3"/>
      <c r="F920" s="4"/>
      <c r="G920" s="4"/>
    </row>
    <row r="921" spans="3:7" ht="17.25" customHeight="1" x14ac:dyDescent="1">
      <c r="C921" s="1"/>
      <c r="D921" s="2"/>
      <c r="E921" s="3"/>
      <c r="F921" s="4"/>
      <c r="G921" s="4"/>
    </row>
    <row r="922" spans="3:7" ht="17.25" customHeight="1" x14ac:dyDescent="1">
      <c r="C922" s="1"/>
      <c r="D922" s="2"/>
      <c r="E922" s="3"/>
      <c r="F922" s="4"/>
      <c r="G922" s="4"/>
    </row>
    <row r="923" spans="3:7" ht="17.25" customHeight="1" x14ac:dyDescent="1">
      <c r="C923" s="1"/>
      <c r="D923" s="2"/>
      <c r="E923" s="3"/>
      <c r="F923" s="4"/>
      <c r="G923" s="4"/>
    </row>
    <row r="924" spans="3:7" ht="17.25" customHeight="1" x14ac:dyDescent="1">
      <c r="C924" s="1"/>
      <c r="D924" s="2"/>
      <c r="E924" s="3"/>
      <c r="F924" s="4"/>
      <c r="G924" s="4"/>
    </row>
    <row r="925" spans="3:7" ht="17.25" customHeight="1" x14ac:dyDescent="1">
      <c r="C925" s="1"/>
      <c r="D925" s="2"/>
      <c r="E925" s="3"/>
      <c r="F925" s="4"/>
      <c r="G925" s="4"/>
    </row>
    <row r="926" spans="3:7" ht="17.25" customHeight="1" x14ac:dyDescent="1">
      <c r="C926" s="1"/>
      <c r="D926" s="2"/>
      <c r="E926" s="3"/>
      <c r="F926" s="4"/>
      <c r="G926" s="4"/>
    </row>
    <row r="927" spans="3:7" ht="17.25" customHeight="1" x14ac:dyDescent="1">
      <c r="C927" s="1"/>
      <c r="D927" s="2"/>
      <c r="E927" s="3"/>
      <c r="F927" s="4"/>
      <c r="G927" s="4"/>
    </row>
    <row r="928" spans="3:7" ht="17.25" customHeight="1" x14ac:dyDescent="1">
      <c r="C928" s="1"/>
      <c r="D928" s="2"/>
      <c r="E928" s="3"/>
      <c r="F928" s="4"/>
      <c r="G928" s="4"/>
    </row>
    <row r="929" spans="3:7" ht="17.25" customHeight="1" x14ac:dyDescent="1">
      <c r="C929" s="1"/>
      <c r="D929" s="2"/>
      <c r="E929" s="3"/>
      <c r="F929" s="4"/>
      <c r="G929" s="4"/>
    </row>
    <row r="930" spans="3:7" ht="17.25" customHeight="1" x14ac:dyDescent="1">
      <c r="C930" s="1"/>
      <c r="D930" s="2"/>
      <c r="E930" s="3"/>
      <c r="F930" s="4"/>
      <c r="G930" s="4"/>
    </row>
    <row r="931" spans="3:7" ht="17.25" customHeight="1" x14ac:dyDescent="1">
      <c r="C931" s="1"/>
      <c r="D931" s="2"/>
      <c r="E931" s="3"/>
      <c r="F931" s="4"/>
      <c r="G931" s="4"/>
    </row>
    <row r="932" spans="3:7" ht="17.25" customHeight="1" x14ac:dyDescent="1">
      <c r="C932" s="1"/>
      <c r="D932" s="2"/>
      <c r="E932" s="3"/>
      <c r="F932" s="4"/>
      <c r="G932" s="4"/>
    </row>
    <row r="933" spans="3:7" ht="17.25" customHeight="1" x14ac:dyDescent="1">
      <c r="C933" s="1"/>
      <c r="D933" s="2"/>
      <c r="E933" s="3"/>
      <c r="F933" s="4"/>
      <c r="G933" s="4"/>
    </row>
    <row r="934" spans="3:7" ht="17.25" customHeight="1" x14ac:dyDescent="1">
      <c r="C934" s="1"/>
      <c r="D934" s="2"/>
      <c r="E934" s="3"/>
      <c r="F934" s="4"/>
      <c r="G934" s="4"/>
    </row>
    <row r="935" spans="3:7" ht="17.25" customHeight="1" x14ac:dyDescent="1">
      <c r="C935" s="1"/>
      <c r="D935" s="2"/>
      <c r="E935" s="3"/>
      <c r="F935" s="4"/>
      <c r="G935" s="4"/>
    </row>
    <row r="936" spans="3:7" ht="17.25" customHeight="1" x14ac:dyDescent="1">
      <c r="C936" s="1"/>
      <c r="D936" s="2"/>
      <c r="E936" s="3"/>
      <c r="F936" s="4"/>
      <c r="G936" s="4"/>
    </row>
    <row r="937" spans="3:7" ht="17.25" customHeight="1" x14ac:dyDescent="1">
      <c r="C937" s="1"/>
      <c r="D937" s="2"/>
      <c r="E937" s="3"/>
      <c r="F937" s="4"/>
      <c r="G937" s="4"/>
    </row>
    <row r="938" spans="3:7" ht="17.25" customHeight="1" x14ac:dyDescent="1">
      <c r="C938" s="1"/>
      <c r="D938" s="2"/>
      <c r="E938" s="3"/>
      <c r="F938" s="4"/>
      <c r="G938" s="4"/>
    </row>
    <row r="939" spans="3:7" ht="17.25" customHeight="1" x14ac:dyDescent="1">
      <c r="C939" s="1"/>
      <c r="D939" s="2"/>
      <c r="E939" s="3"/>
      <c r="F939" s="4"/>
      <c r="G939" s="4"/>
    </row>
    <row r="940" spans="3:7" ht="17.25" customHeight="1" x14ac:dyDescent="1">
      <c r="C940" s="1"/>
      <c r="D940" s="2"/>
      <c r="E940" s="3"/>
      <c r="F940" s="4"/>
      <c r="G940" s="4"/>
    </row>
    <row r="941" spans="3:7" ht="17.25" customHeight="1" x14ac:dyDescent="1">
      <c r="C941" s="1"/>
      <c r="D941" s="2"/>
      <c r="E941" s="3"/>
      <c r="F941" s="4"/>
      <c r="G941" s="4"/>
    </row>
    <row r="942" spans="3:7" ht="17.25" customHeight="1" x14ac:dyDescent="1">
      <c r="C942" s="1"/>
      <c r="D942" s="2"/>
      <c r="E942" s="3"/>
      <c r="F942" s="4"/>
      <c r="G942" s="4"/>
    </row>
    <row r="943" spans="3:7" ht="17.25" customHeight="1" x14ac:dyDescent="1">
      <c r="C943" s="1"/>
      <c r="D943" s="2"/>
      <c r="E943" s="3"/>
      <c r="F943" s="4"/>
      <c r="G943" s="4"/>
    </row>
    <row r="944" spans="3:7" ht="17.25" customHeight="1" x14ac:dyDescent="1">
      <c r="C944" s="1"/>
      <c r="D944" s="2"/>
      <c r="E944" s="3"/>
      <c r="F944" s="4"/>
      <c r="G944" s="4"/>
    </row>
    <row r="945" spans="3:7" ht="17.25" customHeight="1" x14ac:dyDescent="1">
      <c r="C945" s="1"/>
      <c r="D945" s="2"/>
      <c r="E945" s="3"/>
      <c r="F945" s="4"/>
      <c r="G945" s="4"/>
    </row>
    <row r="946" spans="3:7" ht="17.25" customHeight="1" x14ac:dyDescent="1">
      <c r="C946" s="1"/>
      <c r="D946" s="2"/>
      <c r="E946" s="3"/>
      <c r="F946" s="4"/>
      <c r="G946" s="4"/>
    </row>
    <row r="947" spans="3:7" ht="17.25" customHeight="1" x14ac:dyDescent="1">
      <c r="C947" s="1"/>
      <c r="D947" s="2"/>
      <c r="E947" s="3"/>
      <c r="F947" s="4"/>
      <c r="G947" s="4"/>
    </row>
    <row r="948" spans="3:7" ht="17.25" customHeight="1" x14ac:dyDescent="1">
      <c r="C948" s="1"/>
      <c r="D948" s="2"/>
      <c r="E948" s="3"/>
      <c r="F948" s="4"/>
      <c r="G948" s="4"/>
    </row>
    <row r="949" spans="3:7" ht="17.25" customHeight="1" x14ac:dyDescent="1">
      <c r="C949" s="1"/>
      <c r="D949" s="2"/>
      <c r="E949" s="3"/>
      <c r="F949" s="4"/>
      <c r="G949" s="4"/>
    </row>
    <row r="950" spans="3:7" ht="17.25" customHeight="1" x14ac:dyDescent="1">
      <c r="C950" s="1"/>
      <c r="D950" s="2"/>
      <c r="E950" s="3"/>
      <c r="F950" s="4"/>
      <c r="G950" s="4"/>
    </row>
    <row r="951" spans="3:7" ht="17.25" customHeight="1" x14ac:dyDescent="1">
      <c r="C951" s="1"/>
      <c r="D951" s="2"/>
      <c r="E951" s="3"/>
      <c r="F951" s="4"/>
      <c r="G951" s="4"/>
    </row>
    <row r="952" spans="3:7" ht="17.25" customHeight="1" x14ac:dyDescent="1">
      <c r="C952" s="1"/>
      <c r="D952" s="2"/>
      <c r="E952" s="3"/>
      <c r="F952" s="4"/>
      <c r="G952" s="4"/>
    </row>
    <row r="953" spans="3:7" ht="17.25" customHeight="1" x14ac:dyDescent="1">
      <c r="C953" s="1"/>
      <c r="D953" s="2"/>
      <c r="E953" s="3"/>
      <c r="F953" s="4"/>
      <c r="G953" s="4"/>
    </row>
    <row r="954" spans="3:7" ht="17.25" customHeight="1" x14ac:dyDescent="1">
      <c r="C954" s="1"/>
      <c r="D954" s="2"/>
      <c r="E954" s="3"/>
      <c r="F954" s="4"/>
      <c r="G954" s="4"/>
    </row>
    <row r="955" spans="3:7" ht="17.25" customHeight="1" x14ac:dyDescent="1">
      <c r="C955" s="1"/>
      <c r="D955" s="2"/>
      <c r="E955" s="3"/>
      <c r="F955" s="4"/>
      <c r="G955" s="4"/>
    </row>
    <row r="956" spans="3:7" ht="17.25" customHeight="1" x14ac:dyDescent="1">
      <c r="C956" s="1"/>
      <c r="D956" s="2"/>
      <c r="E956" s="3"/>
      <c r="F956" s="4"/>
      <c r="G956" s="4"/>
    </row>
    <row r="957" spans="3:7" ht="17.25" customHeight="1" x14ac:dyDescent="1">
      <c r="C957" s="1"/>
      <c r="D957" s="2"/>
      <c r="E957" s="3"/>
      <c r="F957" s="4"/>
      <c r="G957" s="4"/>
    </row>
    <row r="958" spans="3:7" ht="17.25" customHeight="1" x14ac:dyDescent="1">
      <c r="C958" s="1"/>
      <c r="D958" s="2"/>
      <c r="E958" s="3"/>
      <c r="F958" s="4"/>
      <c r="G958" s="4"/>
    </row>
    <row r="959" spans="3:7" ht="17.25" customHeight="1" x14ac:dyDescent="1">
      <c r="C959" s="1"/>
      <c r="D959" s="2"/>
      <c r="E959" s="3"/>
      <c r="F959" s="4"/>
      <c r="G959" s="4"/>
    </row>
    <row r="960" spans="3:7" ht="17.25" customHeight="1" x14ac:dyDescent="1">
      <c r="C960" s="1"/>
      <c r="D960" s="2"/>
      <c r="E960" s="3"/>
      <c r="F960" s="4"/>
      <c r="G960" s="4"/>
    </row>
    <row r="961" spans="3:7" ht="17.25" customHeight="1" x14ac:dyDescent="1">
      <c r="C961" s="1"/>
      <c r="D961" s="2"/>
      <c r="E961" s="3"/>
      <c r="F961" s="4"/>
      <c r="G961" s="4"/>
    </row>
    <row r="962" spans="3:7" ht="17.25" customHeight="1" x14ac:dyDescent="1">
      <c r="C962" s="1"/>
      <c r="D962" s="2"/>
      <c r="E962" s="3"/>
      <c r="F962" s="4"/>
      <c r="G962" s="4"/>
    </row>
    <row r="963" spans="3:7" ht="17.25" customHeight="1" x14ac:dyDescent="1">
      <c r="C963" s="1"/>
      <c r="D963" s="2"/>
      <c r="E963" s="3"/>
      <c r="F963" s="4"/>
      <c r="G963" s="4"/>
    </row>
    <row r="964" spans="3:7" ht="17.25" customHeight="1" x14ac:dyDescent="1">
      <c r="C964" s="1"/>
      <c r="D964" s="2"/>
      <c r="E964" s="3"/>
      <c r="F964" s="4"/>
      <c r="G964" s="4"/>
    </row>
    <row r="965" spans="3:7" ht="17.25" customHeight="1" x14ac:dyDescent="1">
      <c r="C965" s="1"/>
      <c r="D965" s="2"/>
      <c r="E965" s="3"/>
      <c r="F965" s="4"/>
      <c r="G965" s="4"/>
    </row>
    <row r="966" spans="3:7" ht="17.25" customHeight="1" x14ac:dyDescent="1">
      <c r="C966" s="1"/>
      <c r="D966" s="2"/>
      <c r="E966" s="3"/>
      <c r="F966" s="4"/>
      <c r="G966" s="4"/>
    </row>
    <row r="967" spans="3:7" ht="17.25" customHeight="1" x14ac:dyDescent="1">
      <c r="C967" s="1"/>
      <c r="D967" s="2"/>
      <c r="E967" s="3"/>
      <c r="F967" s="4"/>
      <c r="G967" s="4"/>
    </row>
    <row r="968" spans="3:7" ht="17.25" customHeight="1" x14ac:dyDescent="1">
      <c r="C968" s="1"/>
      <c r="D968" s="2"/>
      <c r="E968" s="3"/>
      <c r="F968" s="4"/>
      <c r="G968" s="4"/>
    </row>
    <row r="969" spans="3:7" ht="17.25" customHeight="1" x14ac:dyDescent="1">
      <c r="C969" s="1"/>
      <c r="D969" s="2"/>
      <c r="E969" s="3"/>
      <c r="F969" s="4"/>
      <c r="G969" s="4"/>
    </row>
    <row r="970" spans="3:7" ht="17.25" customHeight="1" x14ac:dyDescent="1">
      <c r="C970" s="1"/>
      <c r="D970" s="2"/>
      <c r="E970" s="3"/>
      <c r="F970" s="4"/>
      <c r="G970" s="4"/>
    </row>
    <row r="971" spans="3:7" ht="17.25" customHeight="1" x14ac:dyDescent="1">
      <c r="C971" s="1"/>
      <c r="D971" s="2"/>
      <c r="E971" s="3"/>
      <c r="F971" s="4"/>
      <c r="G971" s="4"/>
    </row>
    <row r="972" spans="3:7" ht="17.25" customHeight="1" x14ac:dyDescent="1">
      <c r="C972" s="1"/>
      <c r="D972" s="2"/>
      <c r="E972" s="3"/>
      <c r="F972" s="4"/>
      <c r="G972" s="4"/>
    </row>
    <row r="973" spans="3:7" ht="17.25" customHeight="1" x14ac:dyDescent="1">
      <c r="C973" s="1"/>
      <c r="D973" s="2"/>
      <c r="E973" s="3"/>
      <c r="F973" s="4"/>
      <c r="G973" s="4"/>
    </row>
    <row r="974" spans="3:7" ht="17.25" customHeight="1" x14ac:dyDescent="1">
      <c r="C974" s="1"/>
      <c r="D974" s="2"/>
      <c r="E974" s="3"/>
      <c r="F974" s="4"/>
      <c r="G974" s="4"/>
    </row>
    <row r="975" spans="3:7" ht="17.25" customHeight="1" x14ac:dyDescent="1">
      <c r="C975" s="1"/>
      <c r="D975" s="2"/>
      <c r="E975" s="3"/>
      <c r="F975" s="4"/>
      <c r="G975" s="4"/>
    </row>
    <row r="976" spans="3:7" ht="17.25" customHeight="1" x14ac:dyDescent="1">
      <c r="C976" s="1"/>
      <c r="D976" s="2"/>
      <c r="E976" s="3"/>
      <c r="F976" s="4"/>
      <c r="G976" s="4"/>
    </row>
    <row r="977" spans="3:7" ht="17.25" customHeight="1" x14ac:dyDescent="1">
      <c r="C977" s="1"/>
      <c r="D977" s="2"/>
      <c r="E977" s="3"/>
      <c r="F977" s="4"/>
      <c r="G977" s="4"/>
    </row>
    <row r="978" spans="3:7" ht="17.25" customHeight="1" x14ac:dyDescent="1">
      <c r="C978" s="1"/>
      <c r="D978" s="2"/>
      <c r="E978" s="3"/>
      <c r="F978" s="4"/>
      <c r="G978" s="4"/>
    </row>
    <row r="979" spans="3:7" ht="17.25" customHeight="1" x14ac:dyDescent="1">
      <c r="C979" s="1"/>
      <c r="D979" s="2"/>
      <c r="E979" s="3"/>
      <c r="F979" s="4"/>
      <c r="G979" s="4"/>
    </row>
    <row r="980" spans="3:7" ht="17.25" customHeight="1" x14ac:dyDescent="1">
      <c r="C980" s="1"/>
      <c r="D980" s="2"/>
      <c r="E980" s="3"/>
      <c r="F980" s="4"/>
      <c r="G980" s="4"/>
    </row>
    <row r="981" spans="3:7" ht="17.25" customHeight="1" x14ac:dyDescent="1">
      <c r="C981" s="1"/>
      <c r="D981" s="2"/>
      <c r="E981" s="3"/>
      <c r="F981" s="4"/>
      <c r="G981" s="4"/>
    </row>
    <row r="982" spans="3:7" ht="17.25" customHeight="1" x14ac:dyDescent="1">
      <c r="C982" s="1"/>
      <c r="D982" s="2"/>
      <c r="E982" s="3"/>
      <c r="F982" s="4"/>
      <c r="G982" s="4"/>
    </row>
    <row r="983" spans="3:7" ht="17.25" customHeight="1" x14ac:dyDescent="1">
      <c r="C983" s="1"/>
      <c r="D983" s="2"/>
      <c r="E983" s="3"/>
      <c r="F983" s="4"/>
      <c r="G983" s="4"/>
    </row>
    <row r="984" spans="3:7" ht="17.25" customHeight="1" x14ac:dyDescent="1">
      <c r="C984" s="1"/>
      <c r="D984" s="2"/>
      <c r="E984" s="3"/>
      <c r="F984" s="4"/>
      <c r="G984" s="4"/>
    </row>
    <row r="985" spans="3:7" ht="17.25" customHeight="1" x14ac:dyDescent="1">
      <c r="C985" s="1"/>
      <c r="D985" s="2"/>
      <c r="E985" s="3"/>
      <c r="F985" s="4"/>
      <c r="G985" s="4"/>
    </row>
    <row r="986" spans="3:7" ht="17.25" customHeight="1" x14ac:dyDescent="1">
      <c r="C986" s="1"/>
      <c r="D986" s="2"/>
      <c r="E986" s="3"/>
      <c r="F986" s="4"/>
      <c r="G986" s="4"/>
    </row>
    <row r="987" spans="3:7" ht="17.25" customHeight="1" x14ac:dyDescent="1">
      <c r="C987" s="1"/>
      <c r="D987" s="2"/>
      <c r="E987" s="3"/>
      <c r="F987" s="4"/>
      <c r="G987" s="4"/>
    </row>
    <row r="988" spans="3:7" ht="17.25" customHeight="1" x14ac:dyDescent="1">
      <c r="C988" s="1"/>
      <c r="D988" s="2"/>
      <c r="E988" s="3"/>
      <c r="F988" s="4"/>
      <c r="G988" s="4"/>
    </row>
    <row r="989" spans="3:7" ht="17.25" customHeight="1" x14ac:dyDescent="1">
      <c r="C989" s="1"/>
      <c r="D989" s="2"/>
      <c r="E989" s="3"/>
      <c r="F989" s="4"/>
      <c r="G989" s="4"/>
    </row>
    <row r="990" spans="3:7" ht="17.25" customHeight="1" x14ac:dyDescent="1">
      <c r="C990" s="1"/>
      <c r="D990" s="2"/>
      <c r="E990" s="3"/>
      <c r="F990" s="4"/>
      <c r="G990" s="4"/>
    </row>
    <row r="991" spans="3:7" ht="17.25" customHeight="1" x14ac:dyDescent="1">
      <c r="C991" s="1"/>
      <c r="D991" s="2"/>
      <c r="E991" s="3"/>
      <c r="F991" s="4"/>
      <c r="G991" s="4"/>
    </row>
    <row r="992" spans="3:7" ht="17.25" customHeight="1" x14ac:dyDescent="1">
      <c r="C992" s="1"/>
      <c r="D992" s="2"/>
      <c r="E992" s="3"/>
      <c r="F992" s="4"/>
      <c r="G992" s="4"/>
    </row>
    <row r="993" spans="3:7" ht="17.25" customHeight="1" x14ac:dyDescent="1">
      <c r="C993" s="1"/>
      <c r="D993" s="2"/>
      <c r="E993" s="3"/>
      <c r="F993" s="4"/>
      <c r="G993" s="4"/>
    </row>
    <row r="994" spans="3:7" ht="17.25" customHeight="1" x14ac:dyDescent="1">
      <c r="C994" s="1"/>
      <c r="D994" s="2"/>
      <c r="E994" s="3"/>
      <c r="F994" s="4"/>
      <c r="G994" s="4"/>
    </row>
    <row r="995" spans="3:7" ht="17.25" customHeight="1" x14ac:dyDescent="1">
      <c r="C995" s="1"/>
      <c r="D995" s="2"/>
      <c r="E995" s="3"/>
      <c r="F995" s="4"/>
      <c r="G995" s="4"/>
    </row>
    <row r="996" spans="3:7" ht="17.25" customHeight="1" x14ac:dyDescent="1">
      <c r="C996" s="1"/>
      <c r="D996" s="2"/>
      <c r="E996" s="3"/>
      <c r="F996" s="4"/>
      <c r="G996" s="4"/>
    </row>
    <row r="997" spans="3:7" ht="17.25" customHeight="1" x14ac:dyDescent="1">
      <c r="C997" s="1"/>
      <c r="D997" s="2"/>
      <c r="E997" s="3"/>
      <c r="F997" s="4"/>
      <c r="G997" s="4"/>
    </row>
    <row r="998" spans="3:7" ht="17.25" customHeight="1" x14ac:dyDescent="1">
      <c r="C998" s="1"/>
      <c r="D998" s="2"/>
      <c r="E998" s="3"/>
      <c r="F998" s="4"/>
      <c r="G998" s="4"/>
    </row>
    <row r="999" spans="3:7" ht="17.25" customHeight="1" x14ac:dyDescent="1">
      <c r="C999" s="1"/>
      <c r="D999" s="2"/>
      <c r="E999" s="3"/>
      <c r="F999" s="4"/>
      <c r="G999" s="4"/>
    </row>
    <row r="1000" spans="3:7" ht="17.25" customHeight="1" x14ac:dyDescent="1">
      <c r="C1000" s="1"/>
      <c r="D1000" s="2"/>
      <c r="E1000" s="3"/>
      <c r="F1000" s="4"/>
      <c r="G1000" s="4"/>
    </row>
    <row r="1001" spans="3:7" ht="17.25" customHeight="1" x14ac:dyDescent="1">
      <c r="C1001" s="1"/>
      <c r="D1001" s="2"/>
      <c r="E1001" s="3"/>
      <c r="F1001" s="4"/>
      <c r="G1001" s="4"/>
    </row>
    <row r="1002" spans="3:7" ht="17.25" customHeight="1" x14ac:dyDescent="1">
      <c r="C1002" s="1"/>
      <c r="D1002" s="2"/>
      <c r="E1002" s="3"/>
      <c r="F1002" s="4"/>
      <c r="G1002" s="4"/>
    </row>
    <row r="1003" spans="3:7" ht="17.25" customHeight="1" x14ac:dyDescent="1">
      <c r="C1003" s="1"/>
      <c r="D1003" s="2"/>
      <c r="E1003" s="3"/>
      <c r="F1003" s="4"/>
      <c r="G1003" s="4"/>
    </row>
    <row r="1004" spans="3:7" ht="17.25" customHeight="1" x14ac:dyDescent="1">
      <c r="C1004" s="1"/>
      <c r="D1004" s="2"/>
      <c r="E1004" s="3"/>
      <c r="F1004" s="4"/>
      <c r="G1004" s="4"/>
    </row>
  </sheetData>
  <mergeCells count="39">
    <mergeCell ref="F29:G30"/>
    <mergeCell ref="H29:H30"/>
    <mergeCell ref="F31:G32"/>
    <mergeCell ref="H31:H32"/>
    <mergeCell ref="B33:C33"/>
    <mergeCell ref="E14:F14"/>
    <mergeCell ref="E15:F15"/>
    <mergeCell ref="E16:F16"/>
    <mergeCell ref="E17:F17"/>
    <mergeCell ref="E18:F18"/>
    <mergeCell ref="J19:L19"/>
    <mergeCell ref="B19:F19"/>
    <mergeCell ref="G19:H19"/>
    <mergeCell ref="F25:G26"/>
    <mergeCell ref="H25:H26"/>
    <mergeCell ref="F24:H24"/>
    <mergeCell ref="B23:H23"/>
    <mergeCell ref="B24:D24"/>
    <mergeCell ref="B2:H2"/>
    <mergeCell ref="B4:H4"/>
    <mergeCell ref="B5:H5"/>
    <mergeCell ref="B8:C8"/>
    <mergeCell ref="D8:F8"/>
    <mergeCell ref="E12:F12"/>
    <mergeCell ref="E13:F13"/>
    <mergeCell ref="B35:H35"/>
    <mergeCell ref="B9:C9"/>
    <mergeCell ref="D9:E9"/>
    <mergeCell ref="B10:C10"/>
    <mergeCell ref="D10:F10"/>
    <mergeCell ref="B11:C11"/>
    <mergeCell ref="C20:E20"/>
    <mergeCell ref="E21:F21"/>
    <mergeCell ref="B22:F22"/>
    <mergeCell ref="G22:H22"/>
    <mergeCell ref="F27:G28"/>
    <mergeCell ref="H27:H28"/>
    <mergeCell ref="B34:C34"/>
    <mergeCell ref="G34:H34"/>
  </mergeCells>
  <dataValidations count="1">
    <dataValidation type="list" allowBlank="1" showErrorMessage="1" sqref="H8" xr:uid="{A0F56DE8-3E99-426E-98DF-CD7CF067A1F0}">
      <formula1>"1,2,3"</formula1>
    </dataValidation>
  </dataValidations>
  <hyperlinks>
    <hyperlink ref="B35" r:id="rId1" xr:uid="{90CC28AD-DA4E-4257-A8A1-FBEE15E6116B}"/>
  </hyperlinks>
  <printOptions horizontalCentered="1"/>
  <pageMargins left="0.25" right="0" top="0.5" bottom="0.5" header="0.3" footer="0.3"/>
  <pageSetup paperSize="9" scale="9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Database</vt:lpstr>
      <vt:lpstr>Gradesheet</vt:lpstr>
      <vt:lpstr>Gradesheet!Print_Area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Manjesh Ram</dc:creator>
  <cp:lastModifiedBy>Manjesh Ram</cp:lastModifiedBy>
  <cp:lastPrinted>2026-08-20T11:53:59Z</cp:lastPrinted>
  <dcterms:created xsi:type="dcterms:W3CDTF">2026-08-11T08:32:22Z</dcterms:created>
  <dcterms:modified xsi:type="dcterms:W3CDTF">2026-09-06T14:53:30Z</dcterms:modified>
</cp:coreProperties>
</file>